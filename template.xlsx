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عيادات" sheetId="1" r:id="rId5"/>
    <sheet state="visible" name="مبادرات-البان" sheetId="2" r:id="rId6"/>
    <sheet state="visible" name="الاجمالي" sheetId="3" r:id="rId7"/>
    <sheet state="hidden" name="dont delete or edit" sheetId="4" r:id="rId8"/>
  </sheets>
  <definedNames/>
  <calcPr/>
</workbook>
</file>

<file path=xl/sharedStrings.xml><?xml version="1.0" encoding="utf-8"?>
<sst xmlns="http://schemas.openxmlformats.org/spreadsheetml/2006/main" count="1153" uniqueCount="875">
  <si>
    <t>وزارة الصحـة و الســـــكان</t>
  </si>
  <si>
    <t>الإدارة المركزية لجودة الرعاية الصحية</t>
  </si>
  <si>
    <t>الادارة العامة لمتابعة المديريات</t>
  </si>
  <si>
    <t xml:space="preserve">PHC assessment standards 2025 </t>
  </si>
  <si>
    <r>
      <rPr>
        <rFont val="Traditional Arabic"/>
        <b/>
        <color theme="1"/>
        <sz val="20.0"/>
      </rPr>
      <t>م</t>
    </r>
  </si>
  <si>
    <r>
      <rPr>
        <rFont val="Traditional Arabic"/>
        <b/>
        <color theme="1"/>
        <sz val="20.0"/>
      </rPr>
      <t>المعيــــــار</t>
    </r>
  </si>
  <si>
    <r>
      <rPr>
        <rFont val="Traditional Arabic"/>
        <b/>
        <color theme="1"/>
        <sz val="20.0"/>
      </rPr>
      <t>التقييم</t>
    </r>
  </si>
  <si>
    <t>ملاحظات</t>
  </si>
  <si>
    <r>
      <rPr>
        <rFont val="Times New Roman"/>
        <b/>
        <color theme="1"/>
        <sz val="18.0"/>
      </rPr>
      <t>إشتراطات عامة:</t>
    </r>
  </si>
  <si>
    <r>
      <rPr>
        <rFont val="Times New Roman"/>
        <b/>
        <color theme="1"/>
        <sz val="14.0"/>
      </rPr>
      <t>النظام الصحي والخدمات:</t>
    </r>
  </si>
  <si>
    <r>
      <rPr>
        <rFont val="Times New Roman"/>
        <b/>
        <color theme="1"/>
        <sz val="12.0"/>
      </rPr>
      <t>لافتة توضح إسم الوحدة / المركز في مكان واضح وسليمة و نظيفة.</t>
    </r>
  </si>
  <si>
    <r>
      <rPr>
        <rFont val="Times New Roman"/>
        <b/>
        <color theme="1"/>
        <sz val="12.0"/>
      </rPr>
      <t>لافتة بالخدمات المقدمة في الوحدة / المركز معلنة و محدثة و معتمدة.</t>
    </r>
  </si>
  <si>
    <r>
      <rPr>
        <rFont val="Times New Roman"/>
        <b/>
        <color theme="1"/>
        <sz val="12.0"/>
      </rPr>
      <t>لافتة رئيسية  بأسعار الخدمات المقدمة معلنة و محدثة و معتمدة و لها مرجع.</t>
    </r>
  </si>
  <si>
    <r>
      <rPr>
        <rFont val="Times New Roman"/>
        <b/>
        <color theme="1"/>
        <sz val="12.0"/>
      </rPr>
      <t>لافتة موضح بها توزيع وتقسيمات وحدات المبنى الداخلية بالتفصيل كل طابق على حدة .</t>
    </r>
  </si>
  <si>
    <r>
      <rPr>
        <rFont val="Times New Roman"/>
        <b/>
        <color theme="1"/>
        <sz val="12.0"/>
      </rPr>
      <t>لافتة بالمبادرات التى يتم تقديمها بالوحدة / المركز</t>
    </r>
  </si>
  <si>
    <r>
      <rPr>
        <rFont val="Times New Roman"/>
        <b/>
        <color theme="1"/>
        <sz val="14.0"/>
      </rPr>
      <t>القيادة والإدارة:</t>
    </r>
  </si>
  <si>
    <r>
      <rPr>
        <rFont val="Times New Roman"/>
        <b/>
        <color theme="1"/>
        <sz val="12.0"/>
      </rPr>
      <t>يوجد هيكل تنظيمي بالمسمى الوظيفى و الأسماء معلن و محدث و معتمد.</t>
    </r>
  </si>
  <si>
    <t>الهيكل التنظيمي غير محدث</t>
  </si>
  <si>
    <r>
      <rPr>
        <rFont val="Times New Roman"/>
        <b/>
        <color theme="1"/>
        <sz val="12.0"/>
      </rPr>
      <t>يوجد توصيف وظيفي لجميع العاملين و جميع المسميات الوظيفية بالوحدة / المركز.</t>
    </r>
  </si>
  <si>
    <r>
      <rPr>
        <rFont val="Times New Roman"/>
        <b/>
        <color theme="1"/>
        <sz val="12.0"/>
      </rPr>
      <t>جميع العاملين على علم و دراية تامة بالتوصيف الوظيفي .</t>
    </r>
  </si>
  <si>
    <r>
      <rPr>
        <rFont val="Times New Roman"/>
        <b/>
        <color theme="1"/>
        <sz val="12.0"/>
      </rPr>
      <t xml:space="preserve"> نسخة من خطة العمل السنوية ( التشغيلية).</t>
    </r>
  </si>
  <si>
    <r>
      <rPr>
        <rFont val="Times New Roman"/>
        <b/>
        <color theme="1"/>
        <sz val="12.0"/>
      </rPr>
      <t>لافتات  فى مكان واضح بمدخل الوحدة / المركز توضح  الآتى: 
 الرؤية – الرسالة – القيم  محدثة و معتمدة
 حقوق و واجبات المرضى واضحة ومعلنة و محدثة و معتمدة.
 ملصقات منع التدخين معلنة و واضحة في جميع أماكن الإنتظار والممرات وغرف الفحص...الخ</t>
    </r>
  </si>
  <si>
    <r>
      <rPr>
        <rFont val="Times New Roman"/>
        <b/>
        <color theme="1"/>
        <sz val="12.0"/>
      </rPr>
      <t>سياسة منع التدخين مطبقة بالنسبة للعاملين و المرضى.</t>
    </r>
  </si>
  <si>
    <r>
      <rPr>
        <rFont val="Times New Roman"/>
        <b/>
        <color theme="1"/>
        <sz val="12.0"/>
      </rPr>
      <t>لافتة بالموضوعات التثقيفية اليومية المقدمة للمرضى على مدار الأسبوع طبقاً للمجموعات المتجانسة.</t>
    </r>
  </si>
  <si>
    <r>
      <rPr>
        <rFont val="Times New Roman"/>
        <b/>
        <color theme="1"/>
        <sz val="12.0"/>
      </rPr>
      <t xml:space="preserve">مخارج الوحدة / المركز مشار إليها بوضوح من خلال: 
 خط سير دخول وخروج المرضى
 أسهم إسترشادية للوصول إلى العيادة المطلوبة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كل مكان بالوحدة معنون بلافتة توضح نوع الخدمة المقدمة داخله , و اللافتة أعلى الباب و ليس عليه. 
 أسهم بمخارج الطوارئ و نقاط التجمع.</t>
    </r>
  </si>
  <si>
    <t>لا يوجد اسهم بمخارج الطوارئ</t>
  </si>
  <si>
    <r>
      <rPr>
        <rFont val="Times New Roman"/>
        <b/>
        <color theme="1"/>
        <sz val="14.0"/>
      </rPr>
      <t>تنظيم العمل :</t>
    </r>
  </si>
  <si>
    <r>
      <rPr>
        <rFont val="Times New Roman"/>
        <b/>
        <color theme="1"/>
        <sz val="12.0"/>
      </rPr>
      <t xml:space="preserve">تواجد جداول عمل تنظيمية  معلنة على مدار فترات العمل لجميع العاملين بالوحدة  </t>
    </r>
  </si>
  <si>
    <r>
      <rPr>
        <rFont val="Times New Roman"/>
        <b/>
        <color theme="1"/>
        <sz val="12.0"/>
      </rPr>
      <t>تواجد العاملون طبقا لجداول العمل التنظيمية  .</t>
    </r>
  </si>
  <si>
    <r>
      <rPr>
        <rFont val="Times New Roman"/>
        <b/>
        <color theme="1"/>
        <sz val="12.0"/>
      </rPr>
      <t>يلتزم جميع العاملين بالزى الخاص بهم  .</t>
    </r>
  </si>
  <si>
    <r>
      <rPr>
        <rFont val="Times New Roman"/>
        <b/>
        <color theme="1"/>
        <sz val="12.0"/>
      </rPr>
      <t>يلتزم جميع العاملين بوضع بادج تعريف موضح فيه : الإسم والقسم والصورة</t>
    </r>
  </si>
  <si>
    <t>لا يوجد</t>
  </si>
  <si>
    <r>
      <rPr>
        <rFont val="Times New Roman"/>
        <b/>
        <color theme="1"/>
        <sz val="14.0"/>
      </rPr>
      <t>البنية التحتية العامة بالوحدة / المركز :</t>
    </r>
  </si>
  <si>
    <r>
      <rPr>
        <rFont val="Times New Roman"/>
        <b/>
        <color theme="1"/>
        <sz val="12.0"/>
      </rPr>
      <t>المبنى مطلي و نظيف من الخارج و الداخل</t>
    </r>
  </si>
  <si>
    <r>
      <rPr>
        <rFont val="Times New Roman"/>
        <b/>
        <color theme="1"/>
        <sz val="12.0"/>
      </rPr>
      <t>لا توجد أي قمامة أو أنقاض أو نفايات حول المبنى</t>
    </r>
  </si>
  <si>
    <r>
      <rPr>
        <rFont val="Times New Roman"/>
        <b/>
        <color theme="1"/>
        <sz val="12.0"/>
      </rPr>
      <t>يوجد فرد أمن على بوابة الوحدة / المركز.</t>
    </r>
  </si>
  <si>
    <t>لا يوجد فرد امن على بوابة الوحدة</t>
  </si>
  <si>
    <r>
      <rPr>
        <rFont val="Times New Roman"/>
        <b/>
        <color theme="1"/>
        <sz val="12.0"/>
      </rPr>
      <t>تجهيزات و أثاث الوحدة / المركز سليم و سهل التنظيف / التطهير.</t>
    </r>
  </si>
  <si>
    <r>
      <rPr>
        <rFont val="Times New Roman"/>
        <b/>
        <color theme="1"/>
        <sz val="12.0"/>
      </rPr>
      <t>جميع النوافذ المطلة على الخارج عليها سلك معدنى ضيق الفتحات و سليم .</t>
    </r>
  </si>
  <si>
    <r>
      <rPr>
        <rFont val="Times New Roman"/>
        <b/>
        <color theme="1"/>
        <sz val="12.0"/>
      </rPr>
      <t>الوحدة  مجهزة لإستقبال المرضى الغير قادرين على الحركة من خلال : 
 يوجد بالمدخل منحدر 
 توجد مصعد في المباني متعددة الطوابق
 يوجد كرسي متحرك واحد على الأقل عند كل من : (المدخل الرئيسي - غرفة الطوارئ)</t>
    </r>
  </si>
  <si>
    <t>لا يوجد مصعد</t>
  </si>
  <si>
    <r>
      <rPr>
        <rFont val="Times New Roman"/>
        <b/>
        <color theme="1"/>
        <sz val="12.0"/>
      </rPr>
      <t>يتمتع المبنى من الداخل بما يكفي من الإنارة والتهوية.</t>
    </r>
  </si>
  <si>
    <r>
      <rPr>
        <rFont val="Times New Roman"/>
        <b/>
        <color theme="1"/>
        <sz val="12.0"/>
      </rPr>
      <t xml:space="preserve">توافر حوض مخصص  لغسيل الأيدي بأماكن تقديم الخدمة :
 معنون بحوض غسيل الأيدى
 مستلزمات غسيل الأيدى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ملصقات اللحظات الخمس و بوستر غسيل الأيدى 
 ( و فى حالة عدم توافر حوض يوضع بوستر الدلك بالكحول).</t>
    </r>
  </si>
  <si>
    <r>
      <rPr>
        <rFont val="Times New Roman"/>
        <b/>
        <color theme="1"/>
        <sz val="12.0"/>
      </rPr>
      <t>توفر الخصوصية عن طريق :
 غلق غرفة الكشف فور دخول المريض
 توفير بارافان عند سرير الكشف سهل التنظيف و التطهير طبقاً لتعليمات مكافحة العدوى.
 توافر ملاءة لتغطية المريض عند الكشف 
 النوافذ المطلة مباشرةً على الشوارع أو الساحات العامة، مغلقة بشكل جيد، ومغطاة بستائر ( أو أى وسيلة)  لضمان خصوصية  المرضى.</t>
    </r>
  </si>
  <si>
    <r>
      <rPr>
        <rFont val="Times New Roman"/>
        <b/>
        <color theme="1"/>
        <sz val="14.0"/>
      </rPr>
      <t>التراخيص :</t>
    </r>
  </si>
  <si>
    <r>
      <rPr>
        <rFont val="Times New Roman"/>
        <b/>
        <color theme="1"/>
        <sz val="12.0"/>
      </rPr>
      <t>تداول النفايات</t>
    </r>
  </si>
  <si>
    <r>
      <rPr>
        <rFont val="Times New Roman"/>
        <b/>
        <color theme="1"/>
        <sz val="12.0"/>
      </rPr>
      <t>المولد الكهربائي إذا كان ذو قدرة و سعة كافية</t>
    </r>
  </si>
  <si>
    <r>
      <rPr>
        <rFont val="SKR HEAD1"/>
        <b/>
        <color theme="1"/>
        <sz val="11.0"/>
      </rPr>
      <t>29. ا</t>
    </r>
  </si>
  <si>
    <r>
      <rPr>
        <rFont val="Times New Roman"/>
        <b/>
        <color theme="1"/>
        <sz val="12.0"/>
      </rPr>
      <t>المصعد ( إن وُجد)</t>
    </r>
  </si>
  <si>
    <r>
      <rPr>
        <rFont val="Times New Roman"/>
        <b/>
        <color theme="1"/>
        <sz val="12.0"/>
      </rPr>
      <t>الأشعة ( إن وُجد)</t>
    </r>
  </si>
  <si>
    <r>
      <rPr>
        <rFont val="Times New Roman"/>
        <b/>
        <color theme="1"/>
        <sz val="14.0"/>
      </rPr>
      <t>العقود :</t>
    </r>
  </si>
  <si>
    <r>
      <rPr>
        <rFont val="Times New Roman"/>
        <b/>
        <color theme="1"/>
        <sz val="12.0"/>
      </rPr>
      <t>الصيانة الدورية للأجهزة</t>
    </r>
  </si>
  <si>
    <r>
      <rPr>
        <rFont val="Times New Roman"/>
        <b/>
        <color theme="1"/>
        <sz val="12.0"/>
      </rPr>
      <t>النفايات</t>
    </r>
  </si>
  <si>
    <r>
      <rPr>
        <rFont val="Times New Roman"/>
        <b/>
        <color theme="1"/>
        <sz val="12.0"/>
      </rPr>
      <t>صورة من التعاقد مع العاملين( إن وُجد)</t>
    </r>
  </si>
  <si>
    <r>
      <rPr>
        <rFont val="Times New Roman"/>
        <b/>
        <color theme="1"/>
        <sz val="12.0"/>
      </rPr>
      <t>شركة الأمن و النظافة.</t>
    </r>
  </si>
  <si>
    <t>الإجمالى</t>
  </si>
  <si>
    <r>
      <rPr>
        <rFont val="Times New Roman"/>
        <b/>
        <color theme="1"/>
        <sz val="14.0"/>
      </rPr>
      <t>تقييم و مراقبة أداء الخدمات الصحية المقدمة بالمنشأة Customer Voice :</t>
    </r>
  </si>
  <si>
    <r>
      <rPr>
        <rFont val="Times New Roman"/>
        <b/>
        <color theme="1"/>
        <sz val="12.0"/>
      </rPr>
      <t>يوجد صندوق  / صناديق شكاوى للمنشأة: 
 العدد
 أماكن توزيع صندوق / صناديق الشكاوى</t>
    </r>
  </si>
  <si>
    <r>
      <rPr>
        <rFont val="Times New Roman"/>
        <b/>
        <color theme="1"/>
        <sz val="12.0"/>
      </rPr>
      <t xml:space="preserve">يوجد مصادر أخرى للشكاوى غير الصندوق:
 خط ساخن        
 منظومة الشكاوى مجلس الوزراء            
 شكاوى شفويا        </t>
    </r>
  </si>
  <si>
    <r>
      <rPr>
        <rFont val="Times New Roman"/>
        <b/>
        <color theme="1"/>
        <sz val="12.0"/>
      </rPr>
      <t xml:space="preserve">وجود آلية / نظام  لبحث الشكاوى </t>
    </r>
  </si>
  <si>
    <r>
      <rPr>
        <rFont val="Times New Roman"/>
        <b/>
        <color theme="1"/>
        <sz val="12.0"/>
      </rPr>
      <t>توجد لافتات / أسهم  واضحة تشير إلى مكان توافر صندوق / صناديق الشكاوى</t>
    </r>
  </si>
  <si>
    <r>
      <rPr>
        <rFont val="Times New Roman"/>
        <b/>
        <color theme="1"/>
        <sz val="12.0"/>
      </rPr>
      <t>توافر بوسترإعلان يوضح  أرقام و أماكن تلقى الشكاوى المتعلقة بالخدمات المقدمة.</t>
    </r>
  </si>
  <si>
    <r>
      <rPr>
        <rFont val="Times New Roman"/>
        <b/>
        <color theme="1"/>
        <sz val="12.0"/>
      </rPr>
      <t xml:space="preserve">يتم فتح  صندوق الشكاوى  بشكل دورى : 
 أسبوعى 
 شهرى </t>
    </r>
  </si>
  <si>
    <r>
      <rPr>
        <rFont val="Times New Roman"/>
        <b/>
        <color theme="1"/>
        <sz val="12.0"/>
      </rPr>
      <t>وجود محاضر فتح صندوق الشكاوى وحصر الشكاوى التى بداخله .</t>
    </r>
  </si>
  <si>
    <r>
      <rPr>
        <rFont val="Times New Roman"/>
        <b/>
        <color theme="1"/>
        <sz val="12.0"/>
      </rPr>
      <t>يوجد  تشكيل للجنة الشكاوى معتمد.</t>
    </r>
  </si>
  <si>
    <r>
      <rPr>
        <rFont val="Times New Roman"/>
        <b/>
        <color theme="1"/>
        <sz val="12.0"/>
      </rPr>
      <t>يتم إنعقاد اللجنة بشكل دورى .</t>
    </r>
  </si>
  <si>
    <r>
      <rPr>
        <rFont val="Times New Roman"/>
        <b/>
        <color theme="1"/>
        <sz val="12.0"/>
      </rPr>
      <t>يوجد محاضر لتوثيق إنعقاد اللجنة.</t>
    </r>
  </si>
  <si>
    <r>
      <rPr>
        <rFont val="Times New Roman"/>
        <b/>
        <color theme="1"/>
        <sz val="12.0"/>
      </rPr>
      <t>توافر نموذج إبلاغ عن شكوى .</t>
    </r>
  </si>
  <si>
    <r>
      <rPr>
        <rFont val="Times New Roman"/>
        <b/>
        <color theme="1"/>
        <sz val="12.0"/>
      </rPr>
      <t xml:space="preserve">توافر سجل عن  الشكاوى يشمل العناصر التالية على الأقل: 
 إسم الشاكى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رقم التواصل 
 الرقم القومى
 مصدر الشكوى
 محتوى الشكوى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طرق حل الشكوى
 إبلاغ الشاكى بحل الشكوى.</t>
    </r>
  </si>
  <si>
    <r>
      <rPr>
        <rFont val="Times New Roman"/>
        <b/>
        <color theme="1"/>
        <sz val="12.0"/>
      </rPr>
      <t>توافر نماذج إستبيان رضاء المرضى عن أداء الخدمات المقدمة / 3 أشهر.</t>
    </r>
  </si>
  <si>
    <r>
      <rPr>
        <rFont val="Times New Roman"/>
        <b/>
        <color theme="1"/>
        <sz val="12.0"/>
      </rPr>
      <t xml:space="preserve">يتم تحليل نتائج إستبيان رضاء المرضى. </t>
    </r>
  </si>
  <si>
    <r>
      <rPr>
        <rFont val="Times New Roman"/>
        <b/>
        <color theme="1"/>
        <sz val="12.0"/>
      </rPr>
      <t xml:space="preserve">وجود  إجراءات متخذة  وموثقة لتحسين نتائج الإستبيان. </t>
    </r>
  </si>
  <si>
    <r>
      <rPr>
        <rFont val="Times New Roman"/>
        <b/>
        <color theme="1"/>
        <sz val="14.0"/>
      </rPr>
      <t>السلامة البيئية:</t>
    </r>
  </si>
  <si>
    <r>
      <rPr>
        <rFont val="Times New Roman"/>
        <b/>
        <color theme="1"/>
        <sz val="12.0"/>
      </rPr>
      <t>غرف الفحص جيدة التهوية والإضاءة</t>
    </r>
  </si>
  <si>
    <r>
      <rPr>
        <rFont val="Times New Roman"/>
        <b/>
        <color theme="1"/>
        <sz val="12.0"/>
      </rPr>
      <t>لا توجد سلالم مكسورة.</t>
    </r>
  </si>
  <si>
    <r>
      <rPr>
        <rFont val="Times New Roman"/>
        <b/>
        <color theme="1"/>
        <sz val="12.0"/>
      </rPr>
      <t>الأرضيات سليمة و غير زلقة</t>
    </r>
  </si>
  <si>
    <r>
      <rPr>
        <rFont val="Times New Roman"/>
        <b/>
        <color theme="1"/>
        <sz val="12.0"/>
      </rPr>
      <t>الوحدة  مزودة بوسائل تغذيتها بالمياه النقية بصفة مستمرة</t>
    </r>
  </si>
  <si>
    <r>
      <rPr>
        <rFont val="Times New Roman"/>
        <b/>
        <color theme="1"/>
        <sz val="12.0"/>
      </rPr>
      <t>الوحدة مزودة بوسائل الصرف الصحى المناسبة و السليمة</t>
    </r>
  </si>
  <si>
    <r>
      <rPr>
        <rFont val="Times New Roman"/>
        <b/>
        <color theme="1"/>
        <sz val="12.0"/>
      </rPr>
      <t>تزود الوحدة بالوسائل والأدوات الصحية اللازمة للتخلص من النفايات</t>
    </r>
  </si>
  <si>
    <r>
      <rPr>
        <rFont val="Times New Roman"/>
        <b/>
        <color theme="1"/>
        <sz val="12.0"/>
      </rPr>
      <t>تزود الوحدة  بالأجهزة اللازمة لإطفاء الحريق</t>
    </r>
  </si>
  <si>
    <r>
      <rPr>
        <rFont val="Times New Roman"/>
        <b/>
        <color theme="1"/>
        <sz val="12.0"/>
      </rPr>
      <t>شهادة من إدارة الدفاع المدنى والحريق بتوفر الإشتراطات اللازمة لحماية المركز من الحريق</t>
    </r>
  </si>
  <si>
    <r>
      <rPr>
        <rFont val="Times New Roman"/>
        <b/>
        <color theme="1"/>
        <sz val="12.0"/>
      </rPr>
      <t xml:space="preserve">شهادة تداول المواد والنفايات الخطرة </t>
    </r>
  </si>
  <si>
    <r>
      <rPr>
        <rFont val="Times New Roman"/>
        <b/>
        <color theme="1"/>
        <sz val="12.0"/>
      </rPr>
      <t>مخارج التيار الكهربائي سليمة وآمنة, ولا توجد أسلاك مكشوفة بالحوائط أو الأجهزة</t>
    </r>
  </si>
  <si>
    <t>غير سليمة</t>
  </si>
  <si>
    <r>
      <rPr>
        <rFont val="Times New Roman"/>
        <b/>
        <color theme="1"/>
        <sz val="12.0"/>
      </rPr>
      <t>لوح الكهرباء معرفة من الخارج  بوضع ملصق خطر الكهرباء ومؤمنة - مغلقة ومعرفة من الداخل (محدد بها الأماكن التي يخدمها كل مفتاح)</t>
    </r>
  </si>
  <si>
    <r>
      <rPr>
        <rFont val="Times New Roman"/>
        <b/>
        <color theme="1"/>
        <sz val="12.0"/>
      </rPr>
      <t>طفايات الحريق موضوعة في أماكن واضحة ، ويمكن الوصول إليها بسهولة ( على إرتفاع متر و نصف ).</t>
    </r>
  </si>
  <si>
    <r>
      <rPr>
        <rFont val="Times New Roman"/>
        <b/>
        <color theme="1"/>
        <sz val="12.0"/>
      </rPr>
      <t>مدون على كل طفاية تاريخ ملؤها و تاريخ الصلاحية , و تواريخ المرور الدورى عليها.</t>
    </r>
  </si>
  <si>
    <r>
      <rPr>
        <rFont val="Times New Roman"/>
        <b/>
        <color theme="1"/>
        <sz val="12.0"/>
      </rPr>
      <t>ملصقات PASS &amp; RACE بجوار كل طفاية.</t>
    </r>
  </si>
  <si>
    <r>
      <rPr>
        <rFont val="Times New Roman"/>
        <b/>
        <color theme="1"/>
        <sz val="12.0"/>
      </rPr>
      <t>العاملون مدربون على كيفية التعامل مع طفايات الحريق</t>
    </r>
  </si>
  <si>
    <r>
      <rPr>
        <rFont val="Times New Roman"/>
        <b/>
        <color theme="1"/>
        <sz val="12.0"/>
      </rPr>
      <t>توجد قائمة / سجل شاملة لجميع الأجهزة الطبية بالوحدة، تشمل ما يلي على الأقل:
- إسم الجهاز، والموديل                                          - إسم الشركة المصنِّعة
- تاريخ التصنيع                                                  - جدول الصيانة
- الرقم المسلسل                                          - تاريخ توافره بالوحدة</t>
    </r>
  </si>
  <si>
    <t>لا يوجد سجل شامل</t>
  </si>
  <si>
    <r>
      <rPr>
        <rFont val="Times New Roman"/>
        <b/>
        <color theme="1"/>
        <sz val="12.0"/>
      </rPr>
      <t>كارت تعريف بالجهاز وكارت الصيانة مرفق مع كل جهاز.</t>
    </r>
  </si>
  <si>
    <r>
      <rPr>
        <rFont val="Times New Roman"/>
        <b/>
        <color theme="1"/>
        <sz val="12.0"/>
      </rPr>
      <t>سجل للصيانة الوقائية للمبنى، على الأقل زيارة واحدة كل ستة أشهر( من مسئول الصيانة) للتأكد من سلامة عمليات المياه والتهوية والصرف الصحي .</t>
    </r>
  </si>
  <si>
    <r>
      <rPr>
        <rFont val="Times New Roman"/>
        <b/>
        <color theme="1"/>
        <sz val="14.0"/>
      </rPr>
      <t>المولد :</t>
    </r>
  </si>
  <si>
    <r>
      <rPr>
        <rFont val="Times New Roman"/>
        <b/>
        <color theme="1"/>
        <sz val="12.0"/>
      </rPr>
      <t>بالوحدة / المركز مولد كهربائي سليم .</t>
    </r>
  </si>
  <si>
    <r>
      <rPr>
        <rFont val="Times New Roman"/>
        <b/>
        <color theme="1"/>
        <sz val="12.0"/>
      </rPr>
      <t>التأكد من نظافة السطح الخارجي للمولد/مع وجود رمل أسفل مخزون السولار لتشرب السولار في حال تسربه.</t>
    </r>
  </si>
  <si>
    <t>لا يوجد مولد</t>
  </si>
  <si>
    <r>
      <rPr>
        <rFont val="Times New Roman"/>
        <b/>
        <color theme="1"/>
        <sz val="14.0"/>
      </rPr>
      <t>لجان الوحدة / المركز:</t>
    </r>
  </si>
  <si>
    <r>
      <rPr>
        <rFont val="Times New Roman"/>
        <b/>
        <color theme="1"/>
        <sz val="12.0"/>
      </rPr>
      <t xml:space="preserve">قرار تشكيل كل لجنة محدث و معتمد و لكل تشكيل مرجعية ( على الأقل): 
 لجنة الجودة و سلامة المرضى و تحسين الأداء.
 لجنة الدواء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لجنة مكافحة العدوى 
 لجنة السلامة البيئية</t>
    </r>
  </si>
  <si>
    <r>
      <rPr>
        <rFont val="Times New Roman"/>
        <b/>
        <color theme="1"/>
        <sz val="12.0"/>
      </rPr>
      <t>وجود مهام ومسئوليات لكل لجنة.</t>
    </r>
  </si>
  <si>
    <r>
      <rPr>
        <rFont val="Times New Roman"/>
        <b/>
        <color theme="1"/>
        <sz val="12.0"/>
      </rPr>
      <t>محاضر إجتماع كل لجنة بصفة دورية و تشمل : 
توقيع الحضور فعلياً – أجندة الإجتماع و ما تم مناقشته – التوصيات و تشمل المسئول عن تنفيذ كل توصية – المدة الزمنية للتنفيذ – معوقات عدم التنفيذ.</t>
    </r>
  </si>
  <si>
    <t xml:space="preserve">الإجمالى </t>
  </si>
  <si>
    <r>
      <rPr>
        <rFont val="Times New Roman"/>
        <b/>
        <color theme="1"/>
        <sz val="14.0"/>
      </rPr>
      <t>السياسات و الإجراءات / السجلات التمريضية :</t>
    </r>
  </si>
  <si>
    <r>
      <rPr>
        <rFont val="Times New Roman"/>
        <b/>
        <color theme="1"/>
        <sz val="12.0"/>
      </rPr>
      <t>يوجد السياسات و الإجراءات الآتية محدثة و مفعلة :  
سياسات الجودة على سبيل المثال: 
السياسات العامة لسلامة و أمان المريض - إدارة و سلامة الدواء – الجودة و تحسين الأداء – الرعاية المتمركزة حول المريض – الرعاية المتكاملة - ........ إلخ.</t>
    </r>
  </si>
  <si>
    <r>
      <rPr>
        <rFont val="Times New Roman"/>
        <b/>
        <color theme="1"/>
        <sz val="12.0"/>
      </rPr>
      <t>سياسات مكافحة العدوى على سبيل المثال:
غسيل و تطهير الأيدى – سياسات التعقيم – التعامل مع المفروشات- الواقيات الشخصية – الوخز الآمن –فصل النفايات – تطهير البيئة - ...............إلخ.</t>
    </r>
  </si>
  <si>
    <r>
      <rPr>
        <rFont val="Times New Roman"/>
        <b/>
        <color theme="1"/>
        <sz val="12.0"/>
      </rPr>
      <t>الفريق الطبى مدرب على هذه السياسات مع التوثيق بسجل التدريب.</t>
    </r>
  </si>
  <si>
    <r>
      <rPr>
        <rFont val="Times New Roman"/>
        <b/>
        <color theme="1"/>
        <sz val="14.0"/>
      </rPr>
      <t>السجلات التمريضية :</t>
    </r>
  </si>
  <si>
    <r>
      <rPr>
        <rFont val="Times New Roman"/>
        <b/>
        <color theme="1"/>
        <sz val="12.0"/>
      </rPr>
      <t>السجلات التمريضية ( توزيع مهام – تسليم و تسلم ..... إلخ).( مع رئيسة التمريض)</t>
    </r>
  </si>
  <si>
    <r>
      <rPr>
        <rFont val="Times New Roman"/>
        <b/>
        <color theme="1"/>
        <sz val="12.0"/>
      </rPr>
      <t>سجل التدريب.( مع مسئول التدريب).</t>
    </r>
  </si>
  <si>
    <r>
      <rPr>
        <rFont val="Times New Roman"/>
        <b/>
        <color theme="1"/>
        <sz val="14.0"/>
      </rPr>
      <t>أدلة  العمل الإكلينيكية / البروتوكول:</t>
    </r>
  </si>
  <si>
    <r>
      <rPr>
        <rFont val="Times New Roman"/>
        <b/>
        <color theme="1"/>
        <sz val="12.0"/>
      </rPr>
      <t>تتوافر أدلة  العمل الإكلينيكية المحدثة بالعيادات</t>
    </r>
  </si>
  <si>
    <r>
      <rPr>
        <rFont val="Times New Roman"/>
        <b/>
        <color theme="1"/>
        <sz val="12.0"/>
      </rPr>
      <t>الأطباء  مدربون  على أدلة  العمل الإكلينيكية</t>
    </r>
  </si>
  <si>
    <r>
      <rPr>
        <rFont val="Times New Roman"/>
        <b/>
        <color theme="1"/>
        <sz val="12.0"/>
      </rPr>
      <t>برتوكول الألم</t>
    </r>
  </si>
  <si>
    <r>
      <rPr>
        <rFont val="Times New Roman"/>
        <b/>
        <color theme="1"/>
        <sz val="12.0"/>
      </rPr>
      <t>يتم توثيق التدريب بسجل التدريب.</t>
    </r>
  </si>
  <si>
    <r>
      <rPr>
        <rFont val="Times New Roman"/>
        <b/>
        <color theme="1"/>
        <sz val="14.0"/>
      </rPr>
      <t>القوائم  بالعيادات:</t>
    </r>
  </si>
  <si>
    <r>
      <rPr>
        <rFont val="Times New Roman"/>
        <b/>
        <color theme="1"/>
        <sz val="12.0"/>
      </rPr>
      <t>قائمة بتجهيزات كل عيادة طبقاً لتعليمات الرعاية الأساسية ( معتمدة).</t>
    </r>
  </si>
  <si>
    <r>
      <rPr>
        <rFont val="Times New Roman"/>
        <b/>
        <color theme="1"/>
        <sz val="12.0"/>
      </rPr>
      <t>قائمة معلنة ومعتمدة بالحالات التي يجب إحالتها طبقاً لأدلة العمل الإكلينيكية.</t>
    </r>
  </si>
  <si>
    <r>
      <rPr>
        <rFont val="Times New Roman"/>
        <b/>
        <color theme="1"/>
        <sz val="12.0"/>
      </rPr>
      <t>قائمة معلنة ومعتمدة بمستشفيات الإحالة المعتمدة بها أرقام تليفونات المستشفى</t>
    </r>
  </si>
  <si>
    <r>
      <rPr>
        <rFont val="Times New Roman"/>
        <b/>
        <color theme="1"/>
        <sz val="12.0"/>
      </rPr>
      <t>قائمة بالنتائج الحرجة ( المعملية – الأشعة – الفسيولوجية) مدون بها المسئول و المرجع العلمى  و معتمدة</t>
    </r>
  </si>
  <si>
    <r>
      <rPr>
        <rFont val="Times New Roman"/>
        <b/>
        <color theme="1"/>
        <sz val="12.0"/>
      </rPr>
      <t>قائمة بالإختصارات التشخيصية المسموح بها.</t>
    </r>
  </si>
  <si>
    <r>
      <rPr>
        <rFont val="Times New Roman"/>
        <b/>
        <color theme="1"/>
        <sz val="12.0"/>
      </rPr>
      <t>قائمة بالإختصارات الدوائية  الغيرمسموح بها.</t>
    </r>
  </si>
  <si>
    <r>
      <rPr>
        <rFont val="Times New Roman"/>
        <b/>
        <color theme="1"/>
        <sz val="12.0"/>
      </rPr>
      <t>قائمة بالإختصارات للأوامر الطبية  الغير مسموح بها.</t>
    </r>
  </si>
  <si>
    <r>
      <rPr>
        <rFont val="Times New Roman"/>
        <b/>
        <color theme="1"/>
        <sz val="12.0"/>
      </rPr>
      <t>لا يتم كتابة أي إختصارات في الموافقة المبنية علي المعرفة ( إقرار الموافقة ) أو أي تقرير طبي يعطي للمريض</t>
    </r>
  </si>
  <si>
    <r>
      <rPr>
        <rFont val="Times New Roman"/>
        <b/>
        <color theme="1"/>
        <sz val="12.0"/>
      </rPr>
      <t>قائمة التحقق عند القيام بأى إجراء تداخلى</t>
    </r>
  </si>
  <si>
    <r>
      <rPr>
        <rFont val="Times New Roman"/>
        <b/>
        <color theme="1"/>
        <sz val="14.0"/>
      </rPr>
      <t xml:space="preserve">التسجيل الطبى :  </t>
    </r>
  </si>
  <si>
    <r>
      <rPr>
        <rFont val="Times New Roman"/>
        <b/>
        <color theme="1"/>
        <sz val="14.0"/>
      </rPr>
      <t>الملفات الطبية:</t>
    </r>
  </si>
  <si>
    <r>
      <rPr>
        <rFont val="Times New Roman"/>
        <b/>
        <color theme="1"/>
        <sz val="12.0"/>
      </rPr>
      <t>كل  صفحة من الملف الطبى تحتوى على إسم المريض الرباعى و الرقم الطبى.</t>
    </r>
  </si>
  <si>
    <r>
      <rPr>
        <rFont val="Times New Roman"/>
        <b/>
        <color theme="1"/>
        <sz val="12.0"/>
      </rPr>
      <t>يتم إستكمال جميع نماذج الملف الطبى و التمريضى بدقة</t>
    </r>
  </si>
  <si>
    <r>
      <rPr>
        <rFont val="Times New Roman"/>
        <b/>
        <color theme="1"/>
        <sz val="12.0"/>
      </rPr>
      <t>تحديد القائم بكتابة مدخلات الملف الطبي بذكر إسمه الثلاثى والمسمى الوظيفي له بوضوح</t>
    </r>
  </si>
  <si>
    <r>
      <rPr>
        <rFont val="Times New Roman"/>
        <b/>
        <color theme="1"/>
        <sz val="12.0"/>
      </rPr>
      <t xml:space="preserve">يلتزم الطبيب بتسجيل العلاج والرسائل التثقيفية  في المكان المحدد لذلك </t>
    </r>
  </si>
  <si>
    <r>
      <rPr>
        <rFont val="Times New Roman"/>
        <b/>
        <color theme="1"/>
        <sz val="12.0"/>
      </rPr>
      <t xml:space="preserve">كافة مدخلات الملف الطبي واضحة و مقروءة و موثقة بالتاريخ و الساعة </t>
    </r>
  </si>
  <si>
    <r>
      <rPr>
        <rFont val="Times New Roman"/>
        <b/>
        <color theme="1"/>
        <sz val="14.0"/>
      </rPr>
      <t>غرفة الملفات:</t>
    </r>
  </si>
  <si>
    <r>
      <rPr>
        <rFont val="Times New Roman"/>
        <b/>
        <color theme="1"/>
        <sz val="12.0"/>
      </rPr>
      <t>لافتة معتمدة و معلنة (ممنوع الدخول لغير العاملين بغرفة الملفات) .</t>
    </r>
  </si>
  <si>
    <r>
      <rPr>
        <rFont val="Times New Roman"/>
        <b/>
        <color theme="1"/>
        <sz val="12.0"/>
      </rPr>
      <t>قائمة  معتمدة و معلنة بالمصرح لهم بدخول غرفة الملفات.</t>
    </r>
  </si>
  <si>
    <r>
      <rPr>
        <rFont val="Times New Roman"/>
        <b/>
        <color theme="1"/>
        <sz val="12.0"/>
      </rPr>
      <t>الغرفه مغلقة ومؤمنة و نظيفة.</t>
    </r>
  </si>
  <si>
    <r>
      <rPr>
        <rFont val="Times New Roman"/>
        <b/>
        <color theme="1"/>
        <sz val="12.0"/>
      </rPr>
      <t>وجود بيان ديموجرافى و يشمل :
 عدد السكان التي تخدمها الوحدة / المركز.
 عدد الأسر.
 إجمالي عدد الملفات
 عدد الملفات المفعلة
 عدد الملفات الراكدة
 عدد الملفات المترددة خلال الشهر</t>
    </r>
  </si>
  <si>
    <r>
      <rPr>
        <rFont val="Times New Roman"/>
        <b/>
        <color theme="1"/>
        <sz val="12.0"/>
      </rPr>
      <t>وجود قائمة بالأكواد اللونية  لتكويد الملفات</t>
    </r>
  </si>
  <si>
    <r>
      <rPr>
        <rFont val="Times New Roman"/>
        <b/>
        <color theme="1"/>
        <sz val="12.0"/>
      </rPr>
      <t xml:space="preserve">وجود كارت تعريف و ترقيم لكل الأرفف بأرقام الملفات. </t>
    </r>
  </si>
  <si>
    <r>
      <rPr>
        <rFont val="Times New Roman"/>
        <b/>
        <color theme="1"/>
        <sz val="12.0"/>
      </rPr>
      <t>الملفات مرتبة و منظمة علي الأرفف ( الملفات و الرفف نظيفة).</t>
    </r>
  </si>
  <si>
    <r>
      <rPr>
        <rFont val="Times New Roman"/>
        <b/>
        <color theme="1"/>
        <sz val="12.0"/>
      </rPr>
      <t>جميع  نماذج الملف الطبى متوفرة و لا توجد نواقص بها, و يضاف للملف الطبى النماذج التالية:
 نماذج (إستمارات) الإحالة
 نموذج النتائج الحرجة بملف المريض
 نموذج الأوامر الشفهية و التليفونية بملف المريض
 نماذج التقييمات التمريضية و منها فحص و تقييم المرضى المعرضين للسقوط
 نماذج (إستمارات) موافقة المريض</t>
    </r>
  </si>
  <si>
    <t>النماذج غير متوفرة</t>
  </si>
  <si>
    <r>
      <rPr>
        <rFont val="Times New Roman"/>
        <b/>
        <color theme="1"/>
        <sz val="12.0"/>
      </rPr>
      <t>إستيفاء التسجيل الكامل  بجميع نماذج الملفات الطبية ( مراجعة 5% من إجمالى عدد  الملفات).</t>
    </r>
  </si>
  <si>
    <r>
      <rPr>
        <rFont val="Times New Roman"/>
        <b/>
        <color theme="1"/>
        <sz val="12.0"/>
      </rPr>
      <t xml:space="preserve">توافر السجلات الآتية:
 سجل قيد الأسر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سجل حركة الملف
 سجل الحصر السكانى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سجل الأمراض المكتشفة
 سجل الإحالة.</t>
    </r>
  </si>
  <si>
    <r>
      <rPr>
        <rFont val="Times New Roman"/>
        <b/>
        <color theme="1"/>
        <sz val="12.0"/>
      </rPr>
      <t>توافر إستمارات الإحالة بالملف الطبي والتأكد من عمل التغذية الراجعة.</t>
    </r>
  </si>
  <si>
    <t>غير متوفرة</t>
  </si>
  <si>
    <r>
      <rPr>
        <rFont val="Times New Roman"/>
        <b/>
        <color theme="1"/>
        <sz val="14.0"/>
      </rPr>
      <t>الطوارئ:</t>
    </r>
  </si>
  <si>
    <r>
      <rPr>
        <rFont val="Times New Roman"/>
        <b/>
        <color theme="1"/>
        <sz val="12.0"/>
      </rPr>
      <t>قائمة بتجهيزات عيادة الطوارئ طبقاً لتعليمات الرعاية الأساسية ( معتمدة).</t>
    </r>
  </si>
  <si>
    <r>
      <rPr>
        <rFont val="Times New Roman"/>
        <b/>
        <color theme="1"/>
        <sz val="12.0"/>
      </rPr>
      <t xml:space="preserve">يوجد غرفة للطواريء مجهزة بشكل كاف للتعامل مع الحالات الطارئة: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 جهاز إستنشاق دوائي Nebulizer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 مصدر للأكسجين (أسطوانات)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أمبوباج للبالغين و الأطفال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بوردة لإجراء الإنعاش القلبى الرئوى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شفاط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كشاف كهربائى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شنطة طوارئ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دولاب طوارئ
تجهيزات أخرى: 
 سرير كشف سليم 
 ملاءات ذات الإستخدام الواحد – أو ملاءات قماشية بأعداد كافية
 بارافان سهل التنظيف و التطهير طبقاً لتعليمات مكافحة العدوى
 جهاز ضغط و سماعة للبالغين و الأطفال
 عربة غيار / حاوية / علبة بها مستلزمات الغيار على الجروح.</t>
    </r>
  </si>
  <si>
    <r>
      <rPr>
        <rFont val="Times New Roman"/>
        <b/>
        <color theme="1"/>
        <sz val="12.0"/>
      </rPr>
      <t>أسطوانات ألأكسجين مدون عليها تاريخ الملء و تاريخ الإستخدام ويتم توثيق إختبارها يوميا.</t>
    </r>
  </si>
  <si>
    <r>
      <rPr>
        <rFont val="Times New Roman"/>
        <b/>
        <color theme="1"/>
        <sz val="12.0"/>
      </rPr>
      <t xml:space="preserve">تحتوى شنطة الطوارئ على الآتى: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	توجد قائمة تحدد مكونات وترتيب شنطة الطوارئ 
 	تتوفر أجهزة ومستلزمات الطوارئ وتكون ملائمة للمرحلة العمرية  </t>
    </r>
  </si>
  <si>
    <r>
      <rPr>
        <rFont val="Times New Roman"/>
        <b/>
        <color theme="1"/>
        <sz val="12.0"/>
      </rPr>
      <t>شنطة الطوارئ مؤمنة.</t>
    </r>
  </si>
  <si>
    <r>
      <rPr>
        <rFont val="Times New Roman"/>
        <b/>
        <color theme="1"/>
        <sz val="12.0"/>
      </rPr>
      <t>يتم إستعاضة الأدوية والمستلزمات المستخدمة من شنطة الطوارئ فور إستخدامها مع التوثيق</t>
    </r>
  </si>
  <si>
    <r>
      <rPr>
        <rFont val="Times New Roman"/>
        <b/>
        <color theme="1"/>
        <sz val="12.0"/>
      </rPr>
      <t>التحقق من معدات ومستلزمات الطوارئ یومیاً للتأكد من توافرھا وجاھزیتھا للإستخدام مع التوثيق.</t>
    </r>
  </si>
  <si>
    <r>
      <rPr>
        <rFont val="Times New Roman"/>
        <b/>
        <color theme="1"/>
        <sz val="12.0"/>
      </rPr>
      <t>يقوم  صيدلي بالمرور على شنطة الطوارئ  و دولاب الأدوية و يتم توثيق ذلك</t>
    </r>
  </si>
  <si>
    <r>
      <rPr>
        <rFont val="Times New Roman"/>
        <b/>
        <color theme="1"/>
        <sz val="12.0"/>
      </rPr>
      <t xml:space="preserve">أدوية الطوارئ متوفرة و آمنة  </t>
    </r>
  </si>
  <si>
    <r>
      <rPr>
        <rFont val="Times New Roman"/>
        <b/>
        <color theme="1"/>
        <sz val="12.0"/>
      </rPr>
      <t>التمريض بالطوارئ مدرب على الإنعاش القلبى الرئوى الأساسى</t>
    </r>
  </si>
  <si>
    <r>
      <rPr>
        <rFont val="Times New Roman"/>
        <b/>
        <color theme="1"/>
        <sz val="12.0"/>
      </rPr>
      <t xml:space="preserve">الأطباء مدربون على الإنعاش القلبى الرئوى المتقدم . </t>
    </r>
  </si>
  <si>
    <r>
      <rPr>
        <rFont val="Times New Roman"/>
        <b/>
        <color theme="1"/>
        <sz val="12.0"/>
      </rPr>
      <t>وجود ما يفيدعمل تجربة محاكاة على الإفاقة القلبية مرة سنويا علي الاقل</t>
    </r>
  </si>
  <si>
    <r>
      <rPr>
        <rFont val="Times New Roman"/>
        <b/>
        <color theme="1"/>
        <sz val="12.0"/>
      </rPr>
      <t>يتم فصل و تمييز الأدوية عالية الخطورة – عالية التركيز – المتشابهة فى الشكل و النطق</t>
    </r>
  </si>
  <si>
    <r>
      <rPr>
        <rFont val="Times New Roman"/>
        <b/>
        <color theme="1"/>
        <sz val="12.0"/>
      </rPr>
      <t xml:space="preserve">دولاب الطوارئ: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توافر الأدوية و عدم وجود أى نواقص 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قائمة بالأدوية – أدوية عالية الخطورة – متشابهة فى الشكل و النطق – عالية التركيز.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تعليمات معلنة و معتمدة بكيفية التعامل مع الأدوية عالية التركيز مثل الديباكين.
 ملاحظة ترتيب دولاب الأدوية , و نظافته من الخارج و الداخل.</t>
    </r>
  </si>
  <si>
    <r>
      <rPr>
        <rFont val="Times New Roman"/>
        <b/>
        <color theme="1"/>
        <sz val="12.0"/>
      </rPr>
      <t xml:space="preserve">فصل و تمييز الأدوية  الآتية بدولاب الطوارئ و شنطة الطوارئ: 
 عالية الخطورة : اللون الأحمر
 عالية التركيز : اللون الأزرق
 المتشابهة فى الشكل : اللون الأخضر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المتشابهة فى النطق : اللون الأصفر</t>
    </r>
  </si>
  <si>
    <r>
      <rPr>
        <rFont val="Times New Roman"/>
        <b/>
        <color theme="1"/>
        <sz val="12.0"/>
      </rPr>
      <t>تحديد وقت معين لإستعاضة الأدوية يومياً ( وقت الإستعاضة مدون على قائمة الأدوية بالدولاب).</t>
    </r>
  </si>
  <si>
    <r>
      <rPr>
        <rFont val="Times New Roman"/>
        <b/>
        <color theme="1"/>
        <sz val="12.0"/>
      </rPr>
      <t>عدم وجود أدوية أو مستلزمات منتهية الصلاحية</t>
    </r>
  </si>
  <si>
    <r>
      <rPr>
        <rFont val="Times New Roman"/>
        <b/>
        <color theme="1"/>
        <sz val="12.0"/>
      </rPr>
      <t>تعريف الأدوية المفتوحة (تاريخ وساعه الفتح وتاريخ الصلاحية بعد الفتح وإسم القائم بالفتح ثلاثي).</t>
    </r>
  </si>
  <si>
    <r>
      <rPr>
        <rFont val="Times New Roman"/>
        <b/>
        <color theme="1"/>
        <sz val="12.0"/>
      </rPr>
      <t>يوجد شنطة  الزيارات المنزلية ( لمتابعة الأم و الطفل فى زيارات النفاس)</t>
    </r>
  </si>
  <si>
    <r>
      <rPr>
        <rFont val="Times New Roman"/>
        <b/>
        <color theme="1"/>
        <sz val="14.0"/>
      </rPr>
      <t xml:space="preserve">سجلات خاصة بالطوارئ: </t>
    </r>
  </si>
  <si>
    <r>
      <rPr>
        <rFont val="Times New Roman"/>
        <b/>
        <color theme="1"/>
        <sz val="12.0"/>
      </rPr>
      <t xml:space="preserve">سجل الطوارئ و يحتوى على البيانات التالية: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الرقم المسلسل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التاريخ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الإسم الرباعي للمريض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رقم الملف/ التذكرة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سن المريض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ساعة الدخول للطوارئ – و ساعة الخروج من الطوارئ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الرقم القومي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الحالة عند الوصول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وسيلة الوصول ( سيارة إسعاف – مترجلاً)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العلامات الحيوية عند الوصول – و العلامات الحيوية عند الخروج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التشخيص/العلاج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الحالة عند الخروج (تحسن- إحالة- وفاة) 
 إسم الفريق الطبى ( الطبيب والممرضة )  ثلاثياً أمام كل حالة.</t>
    </r>
  </si>
  <si>
    <r>
      <rPr>
        <rFont val="Times New Roman"/>
        <b/>
        <color theme="1"/>
        <sz val="12.0"/>
      </rPr>
      <t>سجل الغيار</t>
    </r>
  </si>
  <si>
    <t>لا يوجد سجلات للغيار</t>
  </si>
  <si>
    <r>
      <rPr>
        <rFont val="Times New Roman"/>
        <b/>
        <color theme="1"/>
        <sz val="12.0"/>
      </rPr>
      <t>سجل مجهول الهوية ( م - مجهول رقم .... – رقم التذكرة – النوع – الحالة عند الوصول – تاريخ و ساعة الوصول).</t>
    </r>
  </si>
  <si>
    <r>
      <rPr>
        <rFont val="Times New Roman"/>
        <b/>
        <color theme="1"/>
        <sz val="12.0"/>
      </rPr>
      <t>سجل الأمصال إذا كانت الخدمة متوفرة بالطوارئ مثل إعطاء التيتانوس الجراحى و تيتانوس الحوامل ...... إلخ.</t>
    </r>
  </si>
  <si>
    <r>
      <rPr>
        <rFont val="Times New Roman"/>
        <b/>
        <color theme="1"/>
        <sz val="12.0"/>
      </rPr>
      <t>سجل النتائج الحرجة و يشمل الآتى:
م- التاريخ- الساعة - إسم المريض رباعي- رقم الملف الطبي- التحليل أو الفحص المطلوب - النتيجة الحرجة – ساعة  ظهورالنتيجة الحرجة -  ساعة الإبلاغ -  إسم المبلغ ثلاثي - إسم متلقي النتيجة ثلاثى -  العيادة المبلغ إليها-  وسيلة الإبلاغ -  الإجراء المتخذ من  الطبيب سواء (قبول-رفض - إعادة) - الصعوبات التي تم مواجهتها عند الإبلاغ.</t>
    </r>
  </si>
  <si>
    <r>
      <rPr>
        <rFont val="Times New Roman"/>
        <b/>
        <color theme="1"/>
        <sz val="12.0"/>
      </rPr>
      <t>سجل الأوامر الشفهية و التليفونية</t>
    </r>
  </si>
  <si>
    <r>
      <rPr>
        <rFont val="Times New Roman"/>
        <b/>
        <color theme="1"/>
        <sz val="12.0"/>
      </rPr>
      <t xml:space="preserve">سجل توثيق مرور الصيادلة على دولاب الأدوية و شنطة الطوارئ. </t>
    </r>
  </si>
  <si>
    <r>
      <rPr>
        <rFont val="Times New Roman"/>
        <b/>
        <color theme="1"/>
        <sz val="12.0"/>
      </rPr>
      <t>سجل الأعطال</t>
    </r>
  </si>
  <si>
    <r>
      <rPr>
        <rFont val="Times New Roman"/>
        <b/>
        <color theme="1"/>
        <sz val="12.0"/>
      </rPr>
      <t>سجل الصيانة الدورية</t>
    </r>
  </si>
  <si>
    <r>
      <rPr>
        <rFont val="Times New Roman"/>
        <b/>
        <color theme="1"/>
        <sz val="12.0"/>
      </rPr>
      <t>سجل تسليم النفايات لمسئول غرفة النفايات.</t>
    </r>
  </si>
  <si>
    <r>
      <rPr>
        <rFont val="Times New Roman"/>
        <b/>
        <color theme="1"/>
        <sz val="12.0"/>
      </rPr>
      <t>نموذج تذكرة الطوارئ.</t>
    </r>
  </si>
  <si>
    <r>
      <rPr>
        <rFont val="Times New Roman"/>
        <b/>
        <color theme="1"/>
        <sz val="12.0"/>
      </rPr>
      <t>نماذج التقييمات التمريضية و منها فحص و تقييم المرضى المعرضين للسقوط</t>
    </r>
  </si>
  <si>
    <r>
      <rPr>
        <rFont val="Times New Roman"/>
        <b/>
        <color theme="1"/>
        <sz val="14.0"/>
      </rPr>
      <t xml:space="preserve">غرفة التطعيمات: </t>
    </r>
  </si>
  <si>
    <r>
      <rPr>
        <rFont val="Times New Roman"/>
        <b/>
        <color rgb="FF000000"/>
        <sz val="12.0"/>
      </rPr>
      <t xml:space="preserve">موقع مناسب للتطعيمات: 
 يُفضل دور أرضي   - مكان منفصل (لو أمكن) 
 مدخل  و مخرج لغرفة التطعيمات
</t>
    </r>
    <r>
      <rPr>
        <rFont val="Times New Roman"/>
        <b/>
        <color rgb="FF000000"/>
        <sz val="12.0"/>
      </rPr>
      <t></t>
    </r>
    <r>
      <rPr>
        <rFont val="Times New Roman"/>
        <b/>
        <color rgb="FF000000"/>
        <sz val="12.0"/>
      </rPr>
      <t xml:space="preserve"> ومكان إنتظار خاص</t>
    </r>
    <r>
      <rPr>
        <rFont val="Times New Roman"/>
        <b/>
        <color rgb="FF000000"/>
        <sz val="13.0"/>
      </rPr>
      <t xml:space="preserve">  </t>
    </r>
  </si>
  <si>
    <r>
      <rPr>
        <rFont val="Times New Roman"/>
        <b/>
        <color theme="1"/>
        <sz val="12.0"/>
      </rPr>
      <t>إذا لم تكن الغرفة منفصلة فلابد من توافر:
 ميزان أطفال 
 مقياس خشبى للطول</t>
    </r>
  </si>
  <si>
    <r>
      <rPr>
        <rFont val="Times New Roman"/>
        <b/>
        <color theme="1"/>
        <sz val="12.0"/>
      </rPr>
      <t>مواعيد جلسات تطعيم الأطفال معلنة فى مكان واضح.</t>
    </r>
  </si>
  <si>
    <r>
      <rPr>
        <rFont val="Times New Roman"/>
        <b/>
        <color theme="1"/>
        <sz val="12.0"/>
      </rPr>
      <t>قائمة بتجهيزات غرفة التطعيمات طبقاً لتعليمات الرعاية الأساسية ( معتمدة).</t>
    </r>
  </si>
  <si>
    <r>
      <rPr>
        <rFont val="Times New Roman"/>
        <b/>
        <color theme="1"/>
        <sz val="12.0"/>
      </rPr>
      <t>وجود ثلاجة الطعوم  الرأسية ويتوافر بها من الخارج:
 ميزان مائى ( الفقاعة الهوائية فى المنتصف)
 قائمة بقياس درجات الحرارة مرتان يومياً على الأقل (2- 8 درجة)
 قائمة محدثة بمحتويات الثلاجة من الطعوم  - العدد – تاريخ الصلاحية- رقم التشغيلة).
 كارت تعريف الثلاجة و كارت الصيانة.</t>
    </r>
  </si>
  <si>
    <r>
      <rPr>
        <rFont val="Times New Roman"/>
        <b/>
        <color theme="1"/>
        <sz val="12.0"/>
      </rPr>
      <t xml:space="preserve">يوجد بالثلاجة من الداخل :
 الفريزر: يوجد عدد من حوافظ الثلج ( أكياس) طبقاً لتعليمات الطب الوقائى ( لكل قدم حافظة و يضاف 2 أيضاً ( بمعنى إذا الثلاجة 14 قدم فلابد من توافر 16 حافظة ثلج).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ترمومتر فى المنتصف بين الرف الأول و الثانى.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زجاجات مياه ملونة معنونة بعدم صلاحيتها للشرب توضع على الرف الأخير بالثلاجة و ليس بالدرج.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لا يتم وضع أى محتويات بباب الثلاجة.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الإلتزام بترتيب الطعوم بشكل صحيح على كل رف 
  مراعاة وجود مسافة بين كل طعم و آخر
 وضع كارت تعريف لكل طعم </t>
    </r>
  </si>
  <si>
    <r>
      <rPr>
        <rFont val="Times New Roman"/>
        <b/>
        <color theme="1"/>
        <sz val="12.0"/>
      </rPr>
      <t>وجود كارت تعريف لعبوة التطعيم التى تم فتحها مدون بها:
 تاريخ وساعة الفتح
 الإسم الثلاثى للقائم بالفتح على العبوة
 تاريخ الصلاحية بعد الفتح
 يتم إعدام طعم BCG – طعم MMR بعد مرور6 ساعات من الفتح</t>
    </r>
  </si>
  <si>
    <r>
      <rPr>
        <rFont val="Times New Roman"/>
        <b/>
        <color theme="1"/>
        <sz val="12.0"/>
      </rPr>
      <t>ثلاجة ICELINED الأفقية:
 لا يوجد حوافظ (أكياس) تبريد أو زجاجات مياه 
 لا يتم التخزين خارج السلات 
 وجود كارت تعريف للطعوم على كل سلة</t>
    </r>
  </si>
  <si>
    <r>
      <rPr>
        <rFont val="Times New Roman"/>
        <b/>
        <color theme="1"/>
        <sz val="12.0"/>
      </rPr>
      <t>فى حالة الحفظ بالفريزر: 
 يتم الحفظ بين درجة -14 إلى - 18 , يتم تسجيل درجة الحرارة</t>
    </r>
  </si>
  <si>
    <r>
      <rPr>
        <rFont val="Times New Roman"/>
        <b/>
        <color theme="1"/>
        <sz val="12.0"/>
      </rPr>
      <t>وجود قائمة بأرصدة الطعوم المتوفرة.</t>
    </r>
  </si>
  <si>
    <r>
      <rPr>
        <rFont val="Times New Roman"/>
        <b/>
        <color theme="1"/>
        <sz val="14.0"/>
      </rPr>
      <t xml:space="preserve">سجلات غرفة التطعيمات: </t>
    </r>
  </si>
  <si>
    <r>
      <rPr>
        <rFont val="Times New Roman"/>
        <b/>
        <color theme="1"/>
        <sz val="12.0"/>
        <u/>
      </rPr>
      <t xml:space="preserve">توافر السجلات الآتية فى حالة تعطل نظام الميكنة:
</t>
    </r>
    <r>
      <rPr>
        <rFont val="Wingdings"/>
        <b/>
        <color theme="1"/>
        <sz val="12.0"/>
        <u/>
      </rPr>
      <t></t>
    </r>
    <r>
      <rPr>
        <rFont val="Times New Roman"/>
        <b/>
        <color theme="1"/>
        <sz val="12.0"/>
        <u/>
      </rPr>
      <t xml:space="preserve"> سجلات جلسة التطعيم   
 سجل حركة الطعوم                                                         
 سجلات التطعيمات والمواليد
 سجلات المتخلفين عن التطعيمات                                                
</t>
    </r>
    <r>
      <rPr>
        <rFont val="Wingdings"/>
        <b/>
        <color theme="1"/>
        <sz val="12.0"/>
        <u/>
      </rPr>
      <t></t>
    </r>
    <r>
      <rPr>
        <rFont val="Times New Roman"/>
        <b/>
        <color theme="1"/>
        <sz val="12.0"/>
        <u/>
      </rPr>
      <t xml:space="preserve"> سجل إعدام الطعوم
 سجل الآثار الجانبية
</t>
    </r>
    <r>
      <rPr>
        <rFont val="Wingdings"/>
        <b/>
        <color theme="1"/>
        <sz val="12.0"/>
        <u/>
      </rPr>
      <t></t>
    </r>
    <r>
      <rPr>
        <rFont val="Times New Roman"/>
        <b/>
        <color theme="1"/>
        <sz val="12.0"/>
        <u/>
      </rPr>
      <t xml:space="preserve"> تسجيل إحصائيات التطعيمات الشهرية (الكشوف الشهرية) 
 سجل التثقيف الصحى                 </t>
    </r>
  </si>
  <si>
    <r>
      <rPr>
        <rFont val="Times New Roman"/>
        <b/>
        <color theme="1"/>
        <sz val="12.0"/>
        <u/>
      </rPr>
      <t xml:space="preserve">توافر السجلات الأخرى مثل:
</t>
    </r>
    <r>
      <rPr>
        <rFont val="Times New Roman"/>
        <b/>
        <color theme="1"/>
        <sz val="12.0"/>
        <u/>
      </rPr>
      <t>سجل الأعطال
سجل النفايات
سجل الصيانة الدورية
سجل او / إستمارة  الإبلاغ عن حالات الوخز.</t>
    </r>
  </si>
  <si>
    <t>يوجد أوراق خاصة ب سجل الاعطال وسجل النفايات وسجل الصيانة الدورية واستمارة الابلاغ عن حالات الوخز</t>
  </si>
  <si>
    <r>
      <rPr>
        <rFont val="Times New Roman"/>
        <b/>
        <color theme="1"/>
        <sz val="12.0"/>
      </rPr>
      <t>توافر سياسة معتمدة  و محدثة للتعامل مع الطعوم عند إنقطاع التيار الكهربائي</t>
    </r>
  </si>
  <si>
    <r>
      <rPr>
        <rFont val="Times New Roman"/>
        <b/>
        <color theme="1"/>
        <sz val="12.0"/>
      </rPr>
      <t>العاملون علي دراية  بسياسة كيفية التعامل مع الطعوم عند إنقطاع التيار الكهربائي</t>
    </r>
  </si>
  <si>
    <r>
      <rPr>
        <rFont val="Times New Roman"/>
        <b/>
        <color theme="1"/>
        <sz val="12.0"/>
      </rPr>
      <t>توافر أعداد مناسبة  من صناديق التبريد (الكولمن) في حالة إنقطاع التيار الكهربائي</t>
    </r>
  </si>
  <si>
    <t>يوجد نقص بصناديق التبريد</t>
  </si>
  <si>
    <r>
      <rPr>
        <rFont val="Times New Roman"/>
        <b/>
        <color theme="1"/>
        <sz val="12.0"/>
      </rPr>
      <t>يقوم  صيدلي بالمرور على الطعوم و يتم توثيق ذلك.</t>
    </r>
  </si>
  <si>
    <r>
      <rPr>
        <rFont val="Arial"/>
        <b/>
        <color theme="1"/>
        <sz val="14.0"/>
      </rPr>
      <t>عيادة طب الأسرة:</t>
    </r>
  </si>
  <si>
    <r>
      <rPr>
        <rFont val="Times New Roman"/>
        <b/>
        <color theme="1"/>
        <sz val="12.0"/>
      </rPr>
      <t>توافر التجهيزات الخاصة بالعيادة طبقاً لقائمة الرعاية الأساسية .</t>
    </r>
  </si>
  <si>
    <t>لا يوجد جهاز ضغط وخوافض لسان واستمارات رعاية متكاملة</t>
  </si>
  <si>
    <r>
      <rPr>
        <rFont val="Times New Roman"/>
        <b/>
        <color theme="1"/>
        <sz val="12.0"/>
      </rPr>
      <t>التجهيزات سليمة و نظيفة و المستلزمات متوفرة و صالحة.</t>
    </r>
  </si>
  <si>
    <r>
      <rPr>
        <rFont val="Times New Roman"/>
        <b/>
        <color theme="1"/>
        <sz val="12.0"/>
      </rPr>
      <t xml:space="preserve">الإلتزام بفحص المرضى المعرضين للسقوط بواسطة ممرضة الفرز خارج العيادة , و تسجيل ذلك بنموذج الفحص. </t>
    </r>
  </si>
  <si>
    <r>
      <rPr>
        <rFont val="Times New Roman"/>
        <b/>
        <color theme="1"/>
        <sz val="12.0"/>
      </rPr>
      <t>تقييم مخاطر السقوط للمرضي الأكثر عرضة للسقوط طبقا و يتم التسجيل بنموذج التقييم بملف المريض الطبي.</t>
    </r>
  </si>
  <si>
    <r>
      <rPr>
        <rFont val="Times New Roman"/>
        <b/>
        <color theme="1"/>
        <sz val="12.0"/>
      </rPr>
      <t>الإلتزام بإجراء تقييم الألم و تسجيله بنموذج تقييم الألم بملف المريض.</t>
    </r>
  </si>
  <si>
    <r>
      <rPr>
        <rFont val="Times New Roman"/>
        <b/>
        <color theme="1"/>
        <sz val="12.0"/>
      </rPr>
      <t>يتم التعامل مع الألم طبقاً لبروتوكول الألم المعتمد و أدلة العمل الإكلينيكية و يتم التسجيل بسجل المريض الطبي.</t>
    </r>
  </si>
  <si>
    <r>
      <rPr>
        <rFont val="Times New Roman"/>
        <b/>
        <color theme="1"/>
        <sz val="12.0"/>
      </rPr>
      <t>يتم تسجيل التثقيف الصحي للمرضى بالنموذج الخاص بذلك بملف المريض.</t>
    </r>
  </si>
  <si>
    <r>
      <rPr>
        <rFont val="Times New Roman"/>
        <b/>
        <color theme="1"/>
        <sz val="12.0"/>
      </rPr>
      <t>يتم عمل الفحص الشامل للمريض مرة سنويا و توثيقه في الملف الطبي.</t>
    </r>
  </si>
  <si>
    <r>
      <rPr>
        <rFont val="Times New Roman"/>
        <b/>
        <color theme="1"/>
        <sz val="12.0"/>
      </rPr>
      <t xml:space="preserve">يتم التسجيل بدقة بسجل التردد  و جميع السجلات بالعيادة. </t>
    </r>
  </si>
  <si>
    <r>
      <rPr>
        <rFont val="Times New Roman"/>
        <b/>
        <color theme="1"/>
        <sz val="12.0"/>
      </rPr>
      <t>وجود قائمة بالأمراض المعدية الواجب ترصدها.</t>
    </r>
  </si>
  <si>
    <r>
      <rPr>
        <rFont val="Times New Roman"/>
        <b/>
        <color theme="1"/>
        <sz val="12.0"/>
      </rPr>
      <t>نماذج التقييمات التمريضية و منها فحص و تقييم المرضى المعرضين للسقوط</t>
    </r>
  </si>
  <si>
    <r>
      <rPr>
        <rFont val="Times New Roman"/>
        <b/>
        <color theme="1"/>
        <sz val="14.0"/>
      </rPr>
      <t>عيادة IMCI  الرعاية المتكاملة للطفل:</t>
    </r>
  </si>
  <si>
    <r>
      <rPr>
        <rFont val="Times New Roman"/>
        <b/>
        <color theme="1"/>
        <sz val="12.0"/>
      </rPr>
      <t>يوجد طبيب و ممرضة مدربون على الرعاية المتكاملة للطفل.</t>
    </r>
  </si>
  <si>
    <r>
      <rPr>
        <rFont val="Times New Roman"/>
        <b/>
        <color theme="1"/>
        <sz val="12.0"/>
      </rPr>
      <t>أدوية IMCI متوفرة و سارية الصلاحية.</t>
    </r>
  </si>
  <si>
    <r>
      <rPr>
        <rFont val="Times New Roman"/>
        <b/>
        <color theme="1"/>
        <sz val="12.0"/>
      </rPr>
      <t>يتم الإلتزام بفرز و تقييم الأطفال و الكشف بالأولوية طبقاً لنتيجة الفرز و التقييم.</t>
    </r>
  </si>
  <si>
    <r>
      <rPr>
        <rFont val="Times New Roman"/>
        <b/>
        <color theme="1"/>
        <sz val="12.0"/>
      </rPr>
      <t>يتم التسجيل بالكراسة الخاصة بالرعاية المتكاملة للطفل بدقة.</t>
    </r>
  </si>
  <si>
    <r>
      <rPr>
        <rFont val="Times New Roman"/>
        <b/>
        <color theme="1"/>
        <sz val="12.0"/>
      </rPr>
      <t>توافر قائمة بأدوية IMCI</t>
    </r>
  </si>
  <si>
    <r>
      <rPr>
        <rFont val="Times New Roman"/>
        <b/>
        <color theme="1"/>
        <sz val="14.0"/>
      </rPr>
      <t>عيادة رعاية الأمومة ( الحوامل):</t>
    </r>
  </si>
  <si>
    <r>
      <rPr>
        <rFont val="Times New Roman"/>
        <b/>
        <color theme="1"/>
        <sz val="12.0"/>
      </rPr>
      <t>يتم التسجيل بدقة بسجلات رعاية الأمومة :
 سجل الحوامل الجدد
 سجل الحوامل المترددة 
 سجل الولادات و النفاس 
 سجل الزيارات المنزلية</t>
    </r>
  </si>
  <si>
    <r>
      <rPr>
        <rFont val="Times New Roman"/>
        <b/>
        <color theme="1"/>
        <sz val="12.0"/>
      </rPr>
      <t>الإلتزام بإعطاء تيتانوس الحوامل فى المواعيد المحددة مع التوثيق.</t>
    </r>
  </si>
  <si>
    <r>
      <rPr>
        <rFont val="Times New Roman"/>
        <b/>
        <color theme="1"/>
        <sz val="12.0"/>
      </rPr>
      <t>جدول تطعيمات تيتانوس الحوامل معلن ( خمس جرعات و فترة الحماية).</t>
    </r>
  </si>
  <si>
    <r>
      <rPr>
        <rFont val="Times New Roman"/>
        <b/>
        <color theme="1"/>
        <sz val="12.0"/>
      </rPr>
      <t>وجود ميزان للحوامل سليم.</t>
    </r>
  </si>
  <si>
    <r>
      <rPr>
        <rFont val="Times New Roman"/>
        <b/>
        <color theme="1"/>
        <sz val="12.0"/>
      </rPr>
      <t>تتم معايرة الموازين  يوميا وتوثيق المعايرة.</t>
    </r>
  </si>
  <si>
    <r>
      <rPr>
        <rFont val="Times New Roman"/>
        <b/>
        <color theme="1"/>
        <sz val="12.0"/>
      </rPr>
      <t>وجود البطاقة الصحية لمتابعة الحامل.</t>
    </r>
  </si>
  <si>
    <r>
      <rPr>
        <rFont val="Times New Roman"/>
        <b/>
        <color theme="1"/>
        <sz val="12.0"/>
      </rPr>
      <t>ربط سجلات الحوامل الجدد و المترددة بسجلات مبادرة صحة الأم و الجنين.</t>
    </r>
  </si>
  <si>
    <r>
      <rPr>
        <rFont val="Times New Roman"/>
        <b/>
        <color theme="1"/>
        <sz val="12.0"/>
      </rPr>
      <t>يوجد سجل الإحالة و التغذية الراجعة.</t>
    </r>
  </si>
  <si>
    <r>
      <rPr>
        <rFont val="Times New Roman"/>
        <b/>
        <color theme="1"/>
        <sz val="12.0"/>
      </rPr>
      <t>نماذج التقييمات التمريضية و منها فحص و تقييم المرضى المعرضين للسقوط</t>
    </r>
  </si>
  <si>
    <r>
      <rPr>
        <rFont val="Times New Roman"/>
        <b/>
        <color theme="1"/>
        <sz val="14.0"/>
      </rPr>
      <t>عيادة متابعة الأطفال:</t>
    </r>
  </si>
  <si>
    <r>
      <rPr>
        <rFont val="Times New Roman"/>
        <b/>
        <color theme="1"/>
        <sz val="12.0"/>
      </rPr>
      <t>توافر مستلزمات الغدة الدرقية (كروت - شكاكات-قربة - قطن معقم).</t>
    </r>
  </si>
  <si>
    <r>
      <rPr>
        <rFont val="Times New Roman"/>
        <b/>
        <color theme="1"/>
        <sz val="12.0"/>
      </rPr>
      <t xml:space="preserve">يتم التسجيل بدقة بسجلات متابعة الأطفال :
 سجل تحليل الغدة الدرقية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سجل متابعة تردد الأطفال 
 سجل السمعيات</t>
    </r>
  </si>
  <si>
    <r>
      <rPr>
        <rFont val="Times New Roman"/>
        <b/>
        <color theme="1"/>
        <sz val="12.0"/>
      </rPr>
      <t>الإلتزام بالتسجيل الصحيح ببطاقة متابعة الطفل و منحنى النمو بالملف.</t>
    </r>
  </si>
  <si>
    <r>
      <rPr>
        <rFont val="Times New Roman"/>
        <b/>
        <color theme="1"/>
        <sz val="12.0"/>
      </rPr>
      <t>وجود ميزان للأطفال سليم.</t>
    </r>
  </si>
  <si>
    <r>
      <rPr>
        <rFont val="Times New Roman"/>
        <b/>
        <color theme="1"/>
        <sz val="12.0"/>
      </rPr>
      <t>تتم معايرة الموازين  يوميا وتوثيق المعايرة.</t>
    </r>
  </si>
  <si>
    <r>
      <rPr>
        <rFont val="Times New Roman"/>
        <b/>
        <color theme="1"/>
        <sz val="12.0"/>
      </rPr>
      <t>وجود سجل لمتابعة تحليل الغدة الدرقية  و متابعتها فى حالة الإيجابية.</t>
    </r>
  </si>
  <si>
    <r>
      <rPr>
        <rFont val="Times New Roman"/>
        <b/>
        <color theme="1"/>
        <sz val="12.0"/>
      </rPr>
      <t>يوجد سجل الإحالة و التغذية الراجعة.</t>
    </r>
  </si>
  <si>
    <r>
      <rPr>
        <rFont val="Times New Roman"/>
        <b/>
        <color theme="1"/>
        <sz val="12.0"/>
      </rPr>
      <t>نماذج التقييمات التمريضية و منها فحص و تقييم المرضى المعرضين للسقوط</t>
    </r>
  </si>
  <si>
    <r>
      <rPr>
        <rFont val="Times New Roman"/>
        <b/>
        <color theme="1"/>
        <sz val="14.0"/>
      </rPr>
      <t>عيادة تنظيم الأسرة - عيادة النسا :</t>
    </r>
  </si>
  <si>
    <r>
      <rPr>
        <rFont val="Times New Roman"/>
        <b/>
        <color theme="1"/>
        <sz val="12.0"/>
      </rPr>
      <t>يوجد قائمة  بالخدمات المقدمة بتنظيم الأسرة و أسعارها  معلنة و محدثة و معتمدة و لها مرجع.</t>
    </r>
  </si>
  <si>
    <r>
      <rPr>
        <rFont val="Times New Roman"/>
        <b/>
        <color theme="1"/>
        <sz val="12.0"/>
      </rPr>
      <t>يوجد سونار  سليم يعمل بكفاءة.</t>
    </r>
  </si>
  <si>
    <r>
      <rPr>
        <rFont val="Times New Roman"/>
        <b/>
        <color theme="1"/>
        <sz val="12.0"/>
      </rPr>
      <t>يوجد طبيبة مؤهلة و مدربة على السونار و أعمال تنظيم الأسرة.</t>
    </r>
  </si>
  <si>
    <r>
      <rPr>
        <rFont val="Times New Roman"/>
        <b/>
        <color theme="1"/>
        <sz val="12.0"/>
      </rPr>
      <t>الحفاظ على خصوصية المنتفعات ( بارافان – ملاءة – باب مغلق).</t>
    </r>
  </si>
  <si>
    <r>
      <rPr>
        <rFont val="Times New Roman"/>
        <b/>
        <color theme="1"/>
        <sz val="12.0"/>
      </rPr>
      <t>قائمة بالإجراءات التداخلية التي تتطلب موافقة المنتفعة أو ذويها معتمدة و معلنة.</t>
    </r>
  </si>
  <si>
    <r>
      <rPr>
        <rFont val="Times New Roman"/>
        <b/>
        <color theme="1"/>
        <sz val="12.0"/>
      </rPr>
      <t>توافر إقرار الموافقة على  إجراء تداخلى .</t>
    </r>
  </si>
  <si>
    <r>
      <rPr>
        <rFont val="Times New Roman"/>
        <b/>
        <color theme="1"/>
        <sz val="12.0"/>
      </rPr>
      <t>الإلتزام بأخذ موافقة المنتفعة على الإجراء التداخلى.</t>
    </r>
  </si>
  <si>
    <r>
      <rPr>
        <rFont val="Times New Roman"/>
        <b/>
        <color theme="1"/>
        <sz val="12.0"/>
      </rPr>
      <t>إستيفاء التسجيل بدقة  بالآتى: 
 إقرارات الموافقة على الإجراء التداخلى
 نموذج التحقق ما قبل الإجراء التداخلي
 نموذج الوقت المستقطع 
 إستمارات المنتفعات
 سجل التردد و جميع السجلات العامة السابق ذكرها.</t>
    </r>
  </si>
  <si>
    <r>
      <rPr>
        <rFont val="Times New Roman"/>
        <b/>
        <color theme="1"/>
        <sz val="12.0"/>
      </rPr>
      <t>لا يتم كتابة أي إختصارات في الموافقة المبنية علي المعرفة ( إقرار الموافقة ).</t>
    </r>
  </si>
  <si>
    <r>
      <rPr>
        <rFont val="Times New Roman"/>
        <b/>
        <color theme="1"/>
        <sz val="12.0"/>
      </rPr>
      <t>حفظ إستمارات و نماذج التحقق قبل الاجراء  و الوقت المستقطع و الإقرارات بملف المريض الطبي.</t>
    </r>
  </si>
  <si>
    <r>
      <rPr>
        <rFont val="Times New Roman"/>
        <b/>
        <color theme="1"/>
        <sz val="12.0"/>
      </rPr>
      <t>يوجد قائمة بمحتويات الدولاب ويوجد كروت تعريف محدثة للوسائل مع إتباع قاعدة FIFO .</t>
    </r>
  </si>
  <si>
    <r>
      <rPr>
        <rFont val="Times New Roman"/>
        <b/>
        <color theme="1"/>
        <sz val="12.0"/>
      </rPr>
      <t>يوجد قائمة بالوسائل المتاحة بالعيادة.</t>
    </r>
  </si>
  <si>
    <r>
      <rPr>
        <rFont val="Times New Roman"/>
        <b/>
        <color theme="1"/>
        <sz val="12.0"/>
      </rPr>
      <t>قائمة بالإختصارات التشخيصية المسموح بها مع الإلتزام بها.</t>
    </r>
  </si>
  <si>
    <r>
      <rPr>
        <rFont val="Times New Roman"/>
        <b/>
        <color theme="1"/>
        <sz val="12.0"/>
      </rPr>
      <t>يقوم  صيدلي بالمرور على وسائل تنظيم الأسرة و يتم توثيق ذلك.</t>
    </r>
  </si>
  <si>
    <r>
      <rPr>
        <rFont val="Times New Roman"/>
        <b/>
        <color theme="1"/>
        <sz val="14.0"/>
      </rPr>
      <t>عيادة الأسنان :</t>
    </r>
  </si>
  <si>
    <r>
      <rPr>
        <rFont val="Times New Roman"/>
        <b/>
        <color theme="1"/>
        <sz val="12.0"/>
      </rPr>
      <t>يوجد قائمة  بالخدمات المقدمة بعيادة الأسنان و أسعارها  معلنة و محدثة و معتمدة و لها مرجع.</t>
    </r>
  </si>
  <si>
    <r>
      <rPr>
        <rFont val="Times New Roman"/>
        <b/>
        <color theme="1"/>
        <sz val="12.0"/>
      </rPr>
      <t>ملاحظة توافرالأدوية و المستلزمات و مراجعة تاريخ الصلاحية وفقاً  لقائمة التجهيزات.</t>
    </r>
  </si>
  <si>
    <r>
      <rPr>
        <rFont val="Times New Roman"/>
        <b/>
        <color theme="1"/>
        <sz val="12.0"/>
      </rPr>
      <t>وجود قائمة بالإجراءات التي تتطلب موافقة المريض أو ذويه معلنة و معتمدة.</t>
    </r>
  </si>
  <si>
    <r>
      <rPr>
        <rFont val="Times New Roman"/>
        <b/>
        <color theme="1"/>
        <sz val="12.0"/>
      </rPr>
      <t xml:space="preserve">توافر نماذج (قائمة تحقق ما قبل الإجراء التداخلي-الوقت المستقطع- إقرارات موافقة المريض علي إجراء تداخلي). </t>
    </r>
  </si>
  <si>
    <r>
      <rPr>
        <rFont val="Times New Roman"/>
        <b/>
        <color theme="1"/>
        <sz val="12.0"/>
      </rPr>
      <t>الإلتزام بوضع علامة على مكان الإجراء التداخلًي فى النموذج الخاص بذلك.</t>
    </r>
  </si>
  <si>
    <r>
      <rPr>
        <rFont val="Times New Roman"/>
        <b/>
        <color theme="1"/>
        <sz val="12.0"/>
      </rPr>
      <t>الإلتزام بأخذ  إقرار الموافقة على  إجراء تداخلى .</t>
    </r>
  </si>
  <si>
    <r>
      <rPr>
        <rFont val="Times New Roman"/>
        <b/>
        <color theme="1"/>
        <sz val="12.0"/>
      </rPr>
      <t xml:space="preserve">ملاحظة التجهيزات و المستلزمات بالعيادة على سبيل المثال:
 كرسي الأسنان سليم و يعمل وبكفاءة
 الكشاف  سليم وبحالة جيدة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توافر أمبولات البنج ومستلزمات الحشو بأنواعه طبقاً للخدمة المقدمة بالعيادة.
توافر دولاب لحفظ  المستلزمات لها كروت تعريف محدثة و قائمة بمحتويات الدولاب.</t>
    </r>
  </si>
  <si>
    <t>كرسى الاسنان ليس بحالة جيدة ويوجد نقص بامبولات البنج</t>
  </si>
  <si>
    <r>
      <rPr>
        <rFont val="Times New Roman"/>
        <b/>
        <color theme="1"/>
        <sz val="12.0"/>
      </rPr>
      <t xml:space="preserve">الإلتزام بالتسجيل الكامل و الصحيح  بالآتى :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سجل العيادة.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سجل الحوامل و سجل الأطفال ( متابعة الأسنان).
 نموذج تحقق ما قبل الإجراء التداخلي
 الوقت المستقطع
 إقرار الموافقة علي الإجراء التداخلي.</t>
    </r>
  </si>
  <si>
    <r>
      <rPr>
        <rFont val="Times New Roman"/>
        <b/>
        <color theme="1"/>
        <sz val="12.0"/>
      </rPr>
      <t>إلتزام الفريق الطبى بتعليمات مكافحة العدوى والإلتزام  بالواقيات الشخصية.</t>
    </r>
  </si>
  <si>
    <r>
      <rPr>
        <rFont val="Times New Roman"/>
        <b/>
        <color theme="1"/>
        <sz val="12.0"/>
      </rPr>
      <t>يقوم  صيدلي بالمرور على أمبولات البنج  و يتم توثيق ذلك.</t>
    </r>
  </si>
  <si>
    <r>
      <rPr>
        <rFont val="Times New Roman"/>
        <b/>
        <color theme="1"/>
        <sz val="14.0"/>
      </rPr>
      <t>ركن الإرواء:</t>
    </r>
  </si>
  <si>
    <r>
      <rPr>
        <rFont val="Arial"/>
        <b/>
        <color theme="1"/>
        <sz val="12.0"/>
      </rPr>
      <t xml:space="preserve">مستلزمات و تجهيزات ركن الإرواء: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كرسى مخصص للإرواء سليم سهل التنظيف و التطهير.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عبوات محلول  معالجة الجفاف سارى الصلاحية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ماء مقطر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أكواب و ملاعق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ساعة ميقاتية
 ترمومتر.</t>
    </r>
  </si>
  <si>
    <r>
      <rPr>
        <rFont val="Times New Roman"/>
        <b/>
        <color theme="1"/>
        <sz val="12.0"/>
      </rPr>
      <t>ركن الإرواء معـنون و نظيف.</t>
    </r>
  </si>
  <si>
    <r>
      <rPr>
        <rFont val="Times New Roman"/>
        <b/>
        <color theme="1"/>
        <sz val="12.0"/>
      </rPr>
      <t>التسجيل بدقة بسجل الإرواء</t>
    </r>
  </si>
  <si>
    <r>
      <rPr>
        <rFont val="Times New Roman"/>
        <b/>
        <color theme="1"/>
        <sz val="12.0"/>
      </rPr>
      <t>الحفاظ على الخصوصية أثناء جلسة الإرواء.</t>
    </r>
  </si>
  <si>
    <r>
      <rPr>
        <rFont val="Times New Roman"/>
        <b/>
        <color theme="1"/>
        <sz val="14.0"/>
      </rPr>
      <t>الخدمات المساعدة الطبية:</t>
    </r>
  </si>
  <si>
    <r>
      <rPr>
        <rFont val="Times New Roman"/>
        <b/>
        <color theme="1"/>
        <sz val="14.0"/>
      </rPr>
      <t>1. الصيدلية :</t>
    </r>
  </si>
  <si>
    <r>
      <rPr>
        <rFont val="Times New Roman"/>
        <b/>
        <color theme="1"/>
        <sz val="12.0"/>
      </rPr>
      <t xml:space="preserve">توجد قوائم معتمدة و محدثة:
 قائمة الأدوية الأساسية محدثة ( سنوياً)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قائمة بالأدوية الفعلية موزعة على جميع العيادات محدثة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الأدوية عالية الخطورة – عالية التركيز – المتشابهة فى الشكل و النطق
 قائمة بالطعوم و الأمصال
 ثبات الأدوية 
 الأدوية التى تتأثر بالضوء
 الأدوية التى تحفظ بالثلاجة
 الإختصارات الدوائية الممنوعة</t>
    </r>
  </si>
  <si>
    <r>
      <rPr>
        <rFont val="Times New Roman"/>
        <b/>
        <color theme="1"/>
        <sz val="12.0"/>
      </rPr>
      <t xml:space="preserve">كل قائمة تشتمل على:
 الإسم العلمى ( و يمكن إضافة الإسم التجارى)
 الشكل الدوائى 
 التركيز
 العدد
 تاريخ الصلاحية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رقم التشغيلة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تاريخ مرور الصيدلى 
 إسم الصيدلى ثلاثى</t>
    </r>
  </si>
  <si>
    <r>
      <rPr>
        <rFont val="Times New Roman"/>
        <b/>
        <color theme="1"/>
        <sz val="12.0"/>
      </rPr>
      <t>توافر كارت تعريف بالأدوية  محدث على كل رف بالصيدلية يشمل:
 	الإسم العلمى 
 	الشكل الدوائى 
 	التركيز
 	العدد
 	تاريخ الصلاحية
 	رقم التشغيلة</t>
    </r>
  </si>
  <si>
    <r>
      <rPr>
        <rFont val="Times New Roman"/>
        <b/>
        <color theme="1"/>
        <sz val="12.0"/>
      </rPr>
      <t>فصل و تمييز الأدوية بالصيدلية و أماكن توافر الأدوية بالوحدة طبقاً للسياسة.</t>
    </r>
  </si>
  <si>
    <r>
      <rPr>
        <rFont val="Times New Roman"/>
        <b/>
        <color theme="1"/>
        <sz val="12.0"/>
      </rPr>
      <t>الإلتزام بالتخزين الصحيح للأدوية طبقا لسياسات سلامة وإداره الدواء وترتيب الأدوية طبقاً لقاعدة FEFO</t>
    </r>
  </si>
  <si>
    <r>
      <rPr>
        <rFont val="Times New Roman"/>
        <b/>
        <color theme="1"/>
        <sz val="12.0"/>
      </rPr>
      <t>وجود نظام مفعل للتعامل مع الأدوية التى قاربت علي الإنتهاء( ٦ أشهر)</t>
    </r>
  </si>
  <si>
    <r>
      <rPr>
        <rFont val="Times New Roman"/>
        <b/>
        <color theme="1"/>
        <sz val="12.0"/>
      </rPr>
      <t>يوجد دليل تشغيلى للأدوية.</t>
    </r>
  </si>
  <si>
    <t xml:space="preserve">لا يوجد دليل تشغيلى </t>
  </si>
  <si>
    <r>
      <rPr>
        <rFont val="Times New Roman"/>
        <b/>
        <color theme="1"/>
        <sz val="12.0"/>
      </rPr>
      <t>يتم تسجيل درجات حرارة و رطوبة  الغرفة ( الصيدلية و المخزن) يوميا مرتين على الأقل</t>
    </r>
  </si>
  <si>
    <r>
      <rPr>
        <rFont val="Times New Roman"/>
        <b/>
        <color theme="1"/>
        <sz val="12.0"/>
      </rPr>
      <t>يتم تسجيل درجات حرارة ثلاجات حفظ الأدوية و الطعوم و الأمصال يوميا مرتين على الأقل.</t>
    </r>
  </si>
  <si>
    <r>
      <rPr>
        <rFont val="Times New Roman"/>
        <b/>
        <color theme="1"/>
        <sz val="12.0"/>
      </rPr>
      <t>المكان المخصص لصرف وتخزين الأدوية:
 مساحة الصيدلية كافية
 لا يعاني المكان من الحرارة أو البرودة الشديدتين 
 لا يتعرض المكان لأشعة الشمس المباشرة
 تتوفر ثلاجة كهربائية سليمة بها جزء خاص للتجميد
 يوجد قفل على باب المخزن (أو الصيدلية إذا كان المخزن جزء منها)</t>
    </r>
  </si>
  <si>
    <r>
      <rPr>
        <rFont val="Times New Roman"/>
        <b/>
        <color theme="1"/>
        <sz val="11.0"/>
      </rPr>
      <t xml:space="preserve">يتم كتابة الوصفة الطبية بتذكرة المريض ( الأصل و الصورة) بما يلي :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1.0"/>
      </rPr>
      <t xml:space="preserve"> 	</t>
    </r>
    <r>
      <rPr>
        <rFont val="Times New Roman"/>
        <b/>
        <color theme="1"/>
        <sz val="12.0"/>
      </rPr>
      <t xml:space="preserve">الإسم الرباعى المريض و رقم ملفه الطبى 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	إسم الدواء و تركيزه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	الجرعة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	طريقة الإعطاء  
</t>
    </r>
    <r>
      <rPr>
        <rFont val="Times New Roman"/>
        <b/>
        <color theme="1"/>
        <sz val="11.0"/>
      </rPr>
      <t></t>
    </r>
    <r>
      <rPr>
        <rFont val="Times New Roman"/>
        <b/>
        <color theme="1"/>
        <sz val="12.0"/>
      </rPr>
      <t xml:space="preserve"> 	مدة العلاج</t>
    </r>
    <r>
      <rPr>
        <rFont val="Times New Roman"/>
        <b/>
        <color theme="1"/>
        <sz val="11.0"/>
      </rPr>
      <t xml:space="preserve">  </t>
    </r>
  </si>
  <si>
    <r>
      <rPr>
        <rFont val="Times New Roman"/>
        <b/>
        <color theme="1"/>
        <sz val="12.0"/>
      </rPr>
      <t xml:space="preserve">يتم صرف أدوية كل مريض علي حدة في عبوات مناسبة وتمييز كل عبوة بما يلي: 
</t>
    </r>
    <r>
      <rPr>
        <rFont val="Times New Roman"/>
        <b/>
        <color theme="1"/>
        <sz val="11.0"/>
      </rPr>
      <t></t>
    </r>
    <r>
      <rPr>
        <rFont val="Times New Roman"/>
        <b/>
        <color theme="1"/>
        <sz val="12.0"/>
      </rPr>
      <t xml:space="preserve"> الإسم الرباعى المريض و رقم ملفه الطبى</t>
    </r>
    <r>
      <rPr>
        <rFont val="Times New Roman"/>
        <b/>
        <color theme="1"/>
        <sz val="11.0"/>
      </rPr>
      <t>-  إسم الأدوية.</t>
    </r>
  </si>
  <si>
    <t>لا يتم صرف أدوية كل مريض فى عبوات</t>
  </si>
  <si>
    <r>
      <rPr>
        <rFont val="Times New Roman"/>
        <b/>
        <color theme="1"/>
        <sz val="12.0"/>
      </rPr>
      <t>توثيق مرور الصيادلة على أماكن توافر الأدوية ( الطوارئ – الأسنان – تنظيم الأسرة).</t>
    </r>
  </si>
  <si>
    <r>
      <rPr>
        <rFont val="Times New Roman"/>
        <b/>
        <color theme="1"/>
        <sz val="14.0"/>
      </rPr>
      <t>مواصفات ثلاجة الأدوية:</t>
    </r>
  </si>
  <si>
    <r>
      <rPr>
        <rFont val="Times New Roman"/>
        <b/>
        <color theme="1"/>
        <sz val="12.0"/>
      </rPr>
      <t>بعيدة عن الشمس و بمكان جيد التهوية</t>
    </r>
  </si>
  <si>
    <r>
      <rPr>
        <rFont val="Times New Roman"/>
        <b/>
        <color theme="1"/>
        <sz val="12.0"/>
      </rPr>
      <t>تبعد عن الحائط بمسافة 15 سـم</t>
    </r>
  </si>
  <si>
    <r>
      <rPr>
        <rFont val="Times New Roman"/>
        <b/>
        <color theme="1"/>
        <sz val="12.0"/>
      </rPr>
      <t>يوجد على الثلاجة من الخارج:
 ميزان مائى ( الفقاعة الهوائية فى المنتصف)
 قائمة بقياس درجات الحرارة مرتان يومياً على الأقل ( 2- 8 درجة).
 قائمة بمحتويات الثلاجة ( الإسم العلمى - العدد – تاريخ الصلاحية- رقم التشغيلة)
 كارت تعريف الثلاجة و كارت الصيانة.</t>
    </r>
  </si>
  <si>
    <r>
      <rPr>
        <rFont val="Times New Roman"/>
        <b/>
        <color theme="1"/>
        <sz val="12.0"/>
      </rPr>
      <t xml:space="preserve">يوجد بالثلاجة من الداخل :
 الفريزر: يوجد عدد من حوافظ الثلج ( أكياس).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ترمومتر فى المنتصف بين الرف الأول و الثانى.
 الأدوية مرتبة و منظمة و يوجد كارت تعريف بها على أرفف الثلاجة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زجاجات مياه ملونة معنونة بعدم صلاحيتها للشرب توضع على الرف الأخير بالثلاجة و ليس بالدرج.
 لا يتم وضع أى محتويات بباب الثلاجة.</t>
    </r>
  </si>
  <si>
    <r>
      <rPr>
        <rFont val="Times New Roman"/>
        <b/>
        <color theme="1"/>
        <sz val="12.0"/>
      </rPr>
      <t>الثلاجة نظيفة من الداخل و الخارج.</t>
    </r>
  </si>
  <si>
    <r>
      <rPr>
        <rFont val="Times New Roman"/>
        <b/>
        <color theme="1"/>
        <sz val="12.0"/>
      </rPr>
      <t>لا يوجد ثلج بالفريزر و إن وُجد لا يتعدى سمكه 5,0 سـم.</t>
    </r>
  </si>
  <si>
    <r>
      <rPr>
        <rFont val="Times New Roman"/>
        <b/>
        <color theme="1"/>
        <sz val="14.0"/>
      </rPr>
      <t>2. المعمل :</t>
    </r>
  </si>
  <si>
    <r>
      <rPr>
        <rFont val="Times New Roman"/>
        <b/>
        <color theme="1"/>
        <sz val="12.0"/>
      </rPr>
      <t>وجود لافتة تشمل الآتى:
 ممنوع الدخول لغير العاملين بالمعمل و متلقى الخدمة. 
 ممنوع الأكل والتدخين</t>
    </r>
  </si>
  <si>
    <r>
      <rPr>
        <rFont val="Times New Roman"/>
        <b/>
        <color theme="1"/>
        <sz val="12.0"/>
      </rPr>
      <t>يوجد قائمة  بالخدمات المقدمة بالمعمل  و أسعارها  معلنة و محدثة و معتمدة و لها مرجع.</t>
    </r>
  </si>
  <si>
    <r>
      <rPr>
        <rFont val="Times New Roman"/>
        <b/>
        <color theme="1"/>
        <sz val="12.0"/>
      </rPr>
      <t>معمل الدم منفصل عن معمل الطفيليات ( المتوطنة).</t>
    </r>
  </si>
  <si>
    <r>
      <rPr>
        <rFont val="Times New Roman"/>
        <b/>
        <color theme="1"/>
        <sz val="12.0"/>
      </rPr>
      <t>لجميع الأجهزة: 
 كروت تعريف 
 كروت صيانة
 دليل التشغيل 
 فحص دوري للأجهزة موثق
 المعايرة  اليومية للأجهزة.</t>
    </r>
  </si>
  <si>
    <r>
      <rPr>
        <rFont val="Times New Roman"/>
        <b/>
        <color theme="1"/>
        <sz val="14.0"/>
      </rPr>
      <t>سجلات المعمل :</t>
    </r>
  </si>
  <si>
    <r>
      <rPr>
        <rFont val="Times New Roman"/>
        <b/>
        <color theme="1"/>
        <sz val="12.0"/>
      </rPr>
      <t>بالإضافة للسجلات العامة السابق ذكرها يوجد :
 سجل معايرة الأجهزة اليومى
 سجل معايرة نتائج المعمل شهرياً</t>
    </r>
  </si>
  <si>
    <r>
      <rPr>
        <rFont val="Times New Roman"/>
        <b/>
        <color theme="1"/>
        <sz val="12.0"/>
      </rPr>
      <t xml:space="preserve">سجلات المعمل مرقمة ومختومة وتوضح:
 إسم المريض رباعي ورقم الملف الطبي والرقم القومى 
 وجهة المريض ( إسم العيادة / خارجى)
 نوع العينة والفحص المطلوب 
 تاريخ وساعة إستلام العينة
 إسم القائم بالفحص ثلاثي
 إسم القائم بتسليم  و إستلام النتيجة ثلاثي
</t>
    </r>
    <r>
      <rPr>
        <rFont val="Arial"/>
        <b/>
        <color theme="1"/>
        <sz val="12.0"/>
      </rPr>
      <t></t>
    </r>
    <r>
      <rPr>
        <rFont val="Times New Roman"/>
        <b/>
        <color theme="1"/>
        <sz val="12.0"/>
      </rPr>
      <t xml:space="preserve"> ساعه تسليم النتيجة.</t>
    </r>
  </si>
  <si>
    <r>
      <rPr>
        <rFont val="Times New Roman"/>
        <b/>
        <color theme="1"/>
        <sz val="14.0"/>
      </rPr>
      <t>تتوافر الإشتراطات التالية بمكان سحب العينات بالمعمل :</t>
    </r>
  </si>
  <si>
    <r>
      <rPr>
        <rFont val="Times New Roman"/>
        <b/>
        <color theme="1"/>
        <sz val="12.0"/>
      </rPr>
      <t>التعريف بالغرفة بوجود لافتة توضح الخدمة المقدمة بها.</t>
    </r>
  </si>
  <si>
    <r>
      <rPr>
        <rFont val="Times New Roman"/>
        <b/>
        <color theme="1"/>
        <sz val="12.0"/>
      </rPr>
      <t>لافتة توضح مواعيد سحب العينات.</t>
    </r>
  </si>
  <si>
    <r>
      <rPr>
        <rFont val="Times New Roman"/>
        <b/>
        <color theme="1"/>
        <sz val="12.0"/>
      </rPr>
      <t xml:space="preserve">الإلتزام بتعليمات مكافحة العدوى  بمكان سحب العينات و المعمل من حيث : 
 توافر حوض ومستلزمات غسيل الأيدي , فى حالة عدم توافر الحوض يتم الدلك بالكحول.
 توافر القفازات اللاتكس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فصل النفايات بطريقة صحيحة
 تعريف العينات بإسم المريض رباعي ورقم الملف الطبي </t>
    </r>
    <r>
      <rPr>
        <rFont val="Times New Roman"/>
        <b/>
        <color theme="1"/>
        <sz val="12.0"/>
        <u/>
      </rPr>
      <t>بعد</t>
    </r>
    <r>
      <rPr>
        <rFont val="Times New Roman"/>
        <b/>
        <color theme="1"/>
        <sz val="12.0"/>
      </rPr>
      <t xml:space="preserve"> سحب العينة مباشرة  وقبل مغادرة المريض الغرفة.</t>
    </r>
  </si>
  <si>
    <r>
      <rPr>
        <rFont val="Times New Roman"/>
        <b/>
        <color theme="1"/>
        <sz val="12.0"/>
      </rPr>
      <t>كرسى سليم للمريض و آخر للقائم بسحب العينات سهل التنظيف و التطهير .</t>
    </r>
  </si>
  <si>
    <t>الكراسي ليست بحالة جيدة</t>
  </si>
  <si>
    <r>
      <rPr>
        <rFont val="Times New Roman"/>
        <b/>
        <color theme="1"/>
        <sz val="12.0"/>
      </rPr>
      <t>الحفاظ على خصوصية المريض.</t>
    </r>
  </si>
  <si>
    <r>
      <rPr>
        <rFont val="Times New Roman"/>
        <b/>
        <color theme="1"/>
        <sz val="14.0"/>
      </rPr>
      <t>القوائم المطلوبة بالمعمل :</t>
    </r>
  </si>
  <si>
    <r>
      <rPr>
        <rFont val="Times New Roman"/>
        <b/>
        <color theme="1"/>
        <sz val="12.0"/>
      </rPr>
      <t xml:space="preserve"> قائمة النتائج الحرجة المعملية لها مرجعية.
 قائمة بالتحاليل الطارئة.
 قائمة بوقت تسليم وتسلم العينات (ووقت دوران العينة الروتيني والطارئ)
 قائمة بالكواشف (أنواع الكواشف- تاريخ الصلاحية - طريقة التخزين)
 قائمة بالمواد الكميائية الخطرة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قائمة حصر بالأجهزة الموجودة بالمعمل.
 قائمة بمحتويات دولاب المستلزمات - كروت تعريف للمستلزمات.</t>
    </r>
  </si>
  <si>
    <r>
      <rPr>
        <rFont val="Times New Roman"/>
        <b/>
        <color theme="1"/>
        <sz val="12.0"/>
      </rPr>
      <t>جميع القوائم معتمدة و معلنة.</t>
    </r>
  </si>
  <si>
    <r>
      <rPr>
        <rFont val="Times New Roman"/>
        <b/>
        <color theme="1"/>
        <sz val="12.0"/>
      </rPr>
      <t>فصل المواد الكميائية الخطرة عن باقي المواد بالمعمل  ووضع ملصق  MSDSعليها.</t>
    </r>
  </si>
  <si>
    <r>
      <rPr>
        <rFont val="Times New Roman"/>
        <b/>
        <color theme="1"/>
        <sz val="12.0"/>
      </rPr>
      <t>يتوافرMSDS لكل مادة كميائية.</t>
    </r>
  </si>
  <si>
    <r>
      <rPr>
        <rFont val="Times New Roman"/>
        <b/>
        <color theme="1"/>
        <sz val="12.0"/>
      </rPr>
      <t>يتم تسجيل إسم المريض رباعي ورقم الملف الطبي وإسم  فني أو طبيب المعمل ثلاثياً علي نموذج تقاريرالنتائج.</t>
    </r>
  </si>
  <si>
    <r>
      <rPr>
        <rFont val="Times New Roman"/>
        <b/>
        <color theme="1"/>
        <sz val="12.0"/>
      </rPr>
      <t>التقارير الخاصة بالنتائج توضح النسب الطبيعية طبقاً للسن ، النوع</t>
    </r>
  </si>
  <si>
    <t>توجد لتحليل السكر</t>
  </si>
  <si>
    <r>
      <rPr>
        <rFont val="Times New Roman"/>
        <b/>
        <color theme="1"/>
        <sz val="12.0"/>
      </rPr>
      <t>مراعاة الإشتراطات و المواصفات المطلوبة بثلاجات الأدوية / الكواشف السابق ذكرها.</t>
    </r>
  </si>
  <si>
    <r>
      <rPr>
        <rFont val="Times New Roman"/>
        <b/>
        <color theme="1"/>
        <sz val="12.0"/>
      </rPr>
      <t>متابعة الإجراء المتخذ فى حالة وجود Kits قاربت علي الإنتهاء ( 6 أشهر).</t>
    </r>
  </si>
  <si>
    <r>
      <rPr>
        <rFont val="Times New Roman"/>
        <b/>
        <color theme="1"/>
        <sz val="12.0"/>
      </rPr>
      <t>توافر حقيبة الإنسكابات الكميائية والبيولوجية و وجود قائمة بمحتويات الحقيبة</t>
    </r>
  </si>
  <si>
    <r>
      <rPr>
        <rFont val="Times New Roman"/>
        <b/>
        <color theme="1"/>
        <sz val="12.0"/>
      </rPr>
      <t>العاملين على علم و دراية بكيفية إستخدام محتويات حقيبة الإنسكابات</t>
    </r>
  </si>
  <si>
    <r>
      <rPr>
        <rFont val="Times New Roman"/>
        <b/>
        <color theme="1"/>
        <sz val="12.0"/>
      </rPr>
      <t>تعريف المواد التي تم تحضيرها بتاريخ وساعة التحضيروتاريخ إنتهاء الصلاحية بعد الفتح وإسم القائم بالتحضير ثلاثي.</t>
    </r>
  </si>
  <si>
    <r>
      <rPr>
        <rFont val="Times New Roman"/>
        <b/>
        <color theme="1"/>
        <sz val="12.0"/>
      </rPr>
      <t>توافر غاسلة الأعين بالمعمل.</t>
    </r>
  </si>
  <si>
    <t>لا توجد</t>
  </si>
  <si>
    <r>
      <rPr>
        <rFont val="Times New Roman"/>
        <b/>
        <color theme="1"/>
        <sz val="12.0"/>
      </rPr>
      <t>التخلص من عينات معمل المتوطنة طبقاً لتعليمات مكافحة العدوى.</t>
    </r>
  </si>
  <si>
    <r>
      <rPr>
        <rFont val="Times New Roman"/>
        <b/>
        <color theme="1"/>
        <sz val="14.0"/>
      </rPr>
      <t>3. الأشــعة ( إن وُجدت الخدمة بالوحدة / المركز):</t>
    </r>
  </si>
  <si>
    <r>
      <rPr>
        <rFont val="Times New Roman"/>
        <b/>
        <color theme="1"/>
        <sz val="12.0"/>
      </rPr>
      <t>توافر ترخيص غرفة الأشعة طبقاً للقانون رقم 59 لسنة 1960.</t>
    </r>
  </si>
  <si>
    <r>
      <rPr>
        <rFont val="Times New Roman"/>
        <b/>
        <color theme="1"/>
        <sz val="12.0"/>
      </rPr>
      <t>يوجد قائمة  بالخدمات المقدمة بالأشعة و أسعارها  معلنة و محدثة و معتمدة و لها مرجع.</t>
    </r>
  </si>
  <si>
    <r>
      <rPr>
        <rFont val="Times New Roman"/>
        <b/>
        <color theme="1"/>
        <sz val="12.0"/>
      </rPr>
      <t>يوجد مكان إنتظار للمرضي قريب من غرفة الأشعة.</t>
    </r>
  </si>
  <si>
    <r>
      <rPr>
        <rFont val="Times New Roman"/>
        <b/>
        <color theme="1"/>
        <sz val="12.0"/>
      </rPr>
      <t>وجود علامات تحذيرية واضحة للعاملين والمترددين (ممنوع دخول الحوامل/ممنوع دخول مرافقين/خطر الإشعاع)
(عند الضرورة لدخول مرافق يتم إرتداؤه  للمريلة المرصصة).</t>
    </r>
  </si>
  <si>
    <r>
      <rPr>
        <rFont val="Times New Roman"/>
        <b/>
        <color theme="1"/>
        <sz val="12.0"/>
      </rPr>
      <t xml:space="preserve">وجود لمبة حمراء علي باب الأشعة لمنع الدخول أثناء التصوير. </t>
    </r>
  </si>
  <si>
    <r>
      <rPr>
        <rFont val="Times New Roman"/>
        <b/>
        <color theme="1"/>
        <sz val="12.0"/>
      </rPr>
      <t>أخصائي الأشعة يقدم تقرير نهائي لكافة الإجراءات التشخيصية.</t>
    </r>
  </si>
  <si>
    <r>
      <rPr>
        <rFont val="Times New Roman"/>
        <b/>
        <color theme="1"/>
        <sz val="12.0"/>
      </rPr>
      <t>تحديد إطار زمني لتوافر التقارير الطارئة والروتينية وفقا لنوع الإجراء.</t>
    </r>
  </si>
  <si>
    <r>
      <rPr>
        <rFont val="Times New Roman"/>
        <b/>
        <color theme="1"/>
        <sz val="12.0"/>
      </rPr>
      <t>يتم عمل معايرة لكل الأجهزة حسب تعليمات الشركة المصنعة.</t>
    </r>
  </si>
  <si>
    <r>
      <rPr>
        <rFont val="Times New Roman"/>
        <b/>
        <color theme="1"/>
        <sz val="12.0"/>
      </rPr>
      <t>يوجد بروتوكول لتحديد المستويات الإرشادية للجرعة ومعدل الجرعة والنشاط الإشعاعي لأغراض التعرض الطبي ويتم إعلانها داخل غرفة الأشعة.</t>
    </r>
  </si>
  <si>
    <r>
      <rPr>
        <rFont val="Times New Roman"/>
        <b/>
        <color theme="1"/>
        <sz val="12.0"/>
      </rPr>
      <t xml:space="preserve">تسجيل الجرعات الإشعاعية التي يتعرض لها المرضي داخل الملف الطبى في نموذج تقرير الأشعة بواسطة الفني أو الطبيب. </t>
    </r>
  </si>
  <si>
    <r>
      <rPr>
        <rFont val="Times New Roman"/>
        <b/>
        <color theme="1"/>
        <sz val="12.0"/>
      </rPr>
      <t>ترصيص الجدران ( الترصيص يكون علي إرتفاع 2 م علي الأقل/ يتم إعادة الترصيص عند حدوث أي تغيرات)</t>
    </r>
  </si>
  <si>
    <r>
      <rPr>
        <rFont val="Times New Roman"/>
        <b/>
        <color theme="1"/>
        <sz val="12.0"/>
      </rPr>
      <t>توافرأدوات قياس نسبة التعرض للإشعاع: 
 بادج فيلم كل ستة  أشهر
 أو دوزيميترالجيب مرة سنوياً.</t>
    </r>
  </si>
  <si>
    <r>
      <rPr>
        <rFont val="Times New Roman"/>
        <b/>
        <color theme="1"/>
        <sz val="12.0"/>
      </rPr>
      <t>يتم توثيق نتائج قياس نسبة التعرض للإشعاع.</t>
    </r>
  </si>
  <si>
    <r>
      <rPr>
        <rFont val="Times New Roman"/>
        <b/>
        <color theme="1"/>
        <sz val="12.0"/>
      </rPr>
      <t>توافر معدات الحماية الشخصية للعاملين بالأشعة:
 حاجز مرصص به شباك زجاج مرصص
 مرايل مرصصة 
 واقي الأعضاء التناسلية 
 واقي الغدة الدرقية 
 بارافانات مرصصة</t>
    </r>
  </si>
  <si>
    <r>
      <rPr>
        <rFont val="Times New Roman"/>
        <b/>
        <color theme="1"/>
        <sz val="12.0"/>
      </rPr>
      <t>يتم عمل فحص دوري لمعدات الحماية الشخصية  بالأشعة  وتوثيقها بالسجل و الذى يشمل :  التاريخ- أدوات الحماية – نتيجة الفحص (تمزق- شقوق- ثقوب-ترقق الطبقة الخارجية) - توقيع القائم بالفحص ثلاثي.</t>
    </r>
  </si>
  <si>
    <r>
      <rPr>
        <rFont val="Times New Roman"/>
        <b/>
        <color theme="1"/>
        <sz val="12.0"/>
      </rPr>
      <t>وجود ملف خاص بكل موظف بالأشعة و يشتمل علي:
 نتيجة الفحص قبل التعيين
 فحص دوري مرة كل 6 أشهر  (صورة دم كاملة- الرمد- الجلدية ) 
 نتائج قياسات التعرض للإشعاع الشخصي (بادج فيلم أو دوزيميترالجيب)
 فحص شامل سنوي 
 التدريبات التي حصل عليها في مجال العمل علي اجهزة الأشعة.</t>
    </r>
  </si>
  <si>
    <r>
      <rPr>
        <rFont val="Times New Roman"/>
        <b/>
        <color theme="1"/>
        <sz val="12.0"/>
      </rPr>
      <t>إستبعاد العاملين بالأشعة  حين ظهور خلل واضح بالتحاليل والفحوصات الدورية لحين تحسن تلك النتائج ووجود ما يثبت الإستبعاد.</t>
    </r>
  </si>
  <si>
    <r>
      <rPr>
        <rFont val="Times New Roman"/>
        <b/>
        <color theme="1"/>
        <sz val="12.0"/>
      </rPr>
      <t>حجرة التحميض :التأكد من عدم تسريب ضوء من باب الحجرة (الغرفة معتمة)</t>
    </r>
  </si>
  <si>
    <r>
      <rPr>
        <rFont val="Times New Roman"/>
        <b/>
        <color theme="1"/>
        <sz val="12.0"/>
      </rPr>
      <t>توافر صحيفة الأمان MSDS للمواد الكميائية الموجودة بالأشعة وملاحظة تخزين المواد الكميائيه طبقاً لها.</t>
    </r>
  </si>
  <si>
    <r>
      <rPr>
        <rFont val="Times New Roman"/>
        <b/>
        <color theme="1"/>
        <sz val="12.0"/>
      </rPr>
      <t xml:space="preserve">توافرحقيبة الإنسكابات الكميائية والبيولوجية كاملة المحتويات والعاملين علي دراية بكيفية التعامل مع الإنسكابات. </t>
    </r>
  </si>
  <si>
    <r>
      <rPr>
        <rFont val="Times New Roman"/>
        <b/>
        <color theme="1"/>
        <sz val="12.0"/>
      </rPr>
      <t>توافر قائمة و سجل النتائج الحرجة للأشعة مع التسجيل الصحيح.</t>
    </r>
  </si>
  <si>
    <r>
      <rPr>
        <rFont val="Times New Roman"/>
        <b/>
        <color theme="1"/>
        <sz val="12.0"/>
      </rPr>
      <t xml:space="preserve">التأكد من تعريف أفلام الأشعة بإسم المريض رباعي ورقم الملف الطبي. </t>
    </r>
  </si>
  <si>
    <r>
      <rPr>
        <rFont val="Times New Roman"/>
        <b/>
        <color theme="1"/>
        <sz val="12.0"/>
      </rPr>
      <t>يتم الحصول علي موافقة كتابية مبنية علي المعرفة للسيدات الحوامل حين الفحص بإستخدام الأشعة إذا إقتضت الضرورة الطبية لذلك.</t>
    </r>
  </si>
  <si>
    <r>
      <rPr>
        <rFont val="Times New Roman"/>
        <b/>
        <color theme="1"/>
        <sz val="14.0"/>
      </rPr>
      <t>غرفة التثقيف الصحى :</t>
    </r>
  </si>
  <si>
    <r>
      <rPr>
        <rFont val="Times New Roman"/>
        <b/>
        <color theme="1"/>
        <sz val="12.0"/>
      </rPr>
      <t>تشتمل غرفة  التثقيف الصحى على: 
 عدد كراسي يتناسب مع الأعداد المتوقعة 
 كرسي و مكتب 
 شاشة عرض إن أمكن.</t>
    </r>
  </si>
  <si>
    <r>
      <rPr>
        <rFont val="Times New Roman"/>
        <b/>
        <color theme="1"/>
        <sz val="12.0"/>
      </rPr>
      <t>نظيفة و مخصصة لغرض التثقيف الصحي فقط.</t>
    </r>
  </si>
  <si>
    <r>
      <rPr>
        <rFont val="Times New Roman"/>
        <b/>
        <color theme="1"/>
        <sz val="12.0"/>
      </rPr>
      <t>يوجد سجل للتثقيف الصحى مستوفى البيانات.</t>
    </r>
  </si>
  <si>
    <r>
      <rPr>
        <rFont val="Times New Roman"/>
        <b/>
        <color theme="1"/>
        <sz val="12.0"/>
      </rPr>
      <t>وجود خطة شهرية للندوات معتمدة و معلنة.</t>
    </r>
  </si>
  <si>
    <r>
      <rPr>
        <rFont val="Times New Roman"/>
        <b/>
        <color theme="1"/>
        <sz val="12.0"/>
      </rPr>
      <t>يتم تنفيذ الندوات طبقاً للخطة الشهرية.</t>
    </r>
  </si>
  <si>
    <r>
      <rPr>
        <rFont val="Times New Roman"/>
        <b/>
        <color theme="1"/>
        <sz val="14.0"/>
      </rPr>
      <t>الخدمات المساعدة غير الطبية :</t>
    </r>
  </si>
  <si>
    <r>
      <rPr>
        <rFont val="Times New Roman"/>
        <b/>
        <color theme="1"/>
        <sz val="14.0"/>
      </rPr>
      <t>1. وحدة التعقيم المركزى:</t>
    </r>
  </si>
  <si>
    <r>
      <rPr>
        <rFont val="Times New Roman"/>
        <b/>
        <color theme="1"/>
        <sz val="12.0"/>
      </rPr>
      <t>مسار إعادة معالجة و إستخدام الآلات:
يوجد خط سير للعمل بالتعقيم مع وجود فصل مادي سهل التنظيف و التطهير بين كل منطقة مع  وضع أسهم و تعريف جميع المناطق بالتعقيم.
 مدخل لإستلام الآلات الملوثة .  
 منطقة إستلام و تنظيف الآلات الملوثة .  
 منطقة تجفيـف الآلات ثم الفحص و الفرز.
 منـطـــقـــــــة التغـليــــــف .
 منطــقــــــة التعقيــــــــم.
 منطــقــــة التخــزيـــــــــن.
 مخـرج لإســتلام الآلات المعقمــة .</t>
    </r>
  </si>
  <si>
    <r>
      <rPr>
        <rFont val="Times New Roman"/>
        <b/>
        <color theme="1"/>
        <sz val="12.0"/>
      </rPr>
      <t xml:space="preserve">يوجد حوض لغسيل الأيدي به مستلزمات غسيل الأيدى وبوسترات غسيل الأيدي واللحظات الخمسة. </t>
    </r>
  </si>
  <si>
    <r>
      <rPr>
        <rFont val="Times New Roman"/>
        <b/>
        <color theme="1"/>
        <sz val="12.0"/>
      </rPr>
      <t>إلتزام العاملين بإرتداء الواقيات الشخصية (قفازات شديدة التحمل- مريلة بلاستيكية- ماسك- نظارة واقية- غطاء للرأس - سابوه مقفول).</t>
    </r>
  </si>
  <si>
    <r>
      <rPr>
        <rFont val="Times New Roman"/>
        <b/>
        <color theme="1"/>
        <sz val="12.0"/>
      </rPr>
      <t>التأكد من اكتمال عمليه التعقيم باستخدام كواشف بيلوجيه والحراريه والكميائيه ويتم تسجيلها بسجل خاص بالتاريخ والقائم بالتعقيم</t>
    </r>
  </si>
  <si>
    <r>
      <rPr>
        <rFont val="Times New Roman"/>
        <b/>
        <color theme="1"/>
        <sz val="12.0"/>
      </rPr>
      <t>متابعة كفاءة التعقيم بجهاز الأوتوكلاف:
 يتم تخصيص سجل لكل جهاز على حدة</t>
    </r>
    <r>
      <rPr>
        <rFont val="Traditional Arabic"/>
        <b/>
        <color theme="1"/>
        <sz val="12.0"/>
      </rPr>
      <t>.</t>
    </r>
    <r>
      <rPr>
        <rFont val="Times New Roman"/>
        <b/>
        <color theme="1"/>
        <sz val="12.0"/>
      </rPr>
      <t xml:space="preserve">
يتم عمل الإختبارات اللآزمة للتأكد من سلامة التعقيم :
1. يتم عمل  إختبار البوفيدك مع بداية كل يوم عمل و توضع بالسجل .
2. المؤشرات الكميائية class4 وclass5  وتوضع مع كل باكيتة تعقيم.
أ- توضع كواشف خارجية (المؤشر الحراري) يتغير لونها عند الوصول إلى درجة الحررة المطلوبة و توضع على الجدار الخارجي للعبوة.
ب- توضع مؤشرات داخلية للتأكد من وصول الحرارة والبخار و توضع في أصعب مكان للجهاز ( مركز الحمل).
3. إستخدام المؤشرات البيولوجية : 
 كل شهر( حد أقصى).
 في حالة حدوث أعطال بالجهاز .
 بعد إجراء عمليات صيانة للجهاز.</t>
    </r>
  </si>
  <si>
    <r>
      <rPr>
        <rFont val="Times New Roman"/>
        <b/>
        <color theme="1"/>
        <sz val="12.0"/>
      </rPr>
      <t>فتره التخزين:
 ورق الكريب شهر في حال إستخدام طبقا مزدوجة (وأسبوع في حالة إستخدام طبقة واحدة )
 عبوات الرول : شهر 
 الفوط القماشية ثلاثة أيام.</t>
    </r>
  </si>
  <si>
    <r>
      <rPr>
        <rFont val="Times New Roman"/>
        <b/>
        <color theme="1"/>
        <sz val="12.0"/>
      </rPr>
      <t>وجود سجل تسليم الآلات  قبل و بعد التعقيم.</t>
    </r>
  </si>
  <si>
    <r>
      <rPr>
        <rFont val="Times New Roman"/>
        <b/>
        <color theme="1"/>
        <sz val="12.0"/>
      </rPr>
      <t xml:space="preserve">يوجد كارت تعريف وكارت صيانة ودليل تشغيل لكل جهاز </t>
    </r>
  </si>
  <si>
    <r>
      <rPr>
        <rFont val="Times New Roman"/>
        <b/>
        <color theme="1"/>
        <sz val="12.0"/>
      </rPr>
      <t xml:space="preserve">يوجد فحص دوري موثق لكل جهاز </t>
    </r>
  </si>
  <si>
    <r>
      <rPr>
        <rFont val="Times New Roman"/>
        <b/>
        <color theme="1"/>
        <sz val="12.0"/>
      </rPr>
      <t>يوجد قائمة بمستوي المخزون المطلوب من المواد المعقمة</t>
    </r>
  </si>
  <si>
    <r>
      <rPr>
        <rFont val="Times New Roman"/>
        <b/>
        <color theme="1"/>
        <sz val="12.0"/>
      </rPr>
      <t>ملاحظة نظافة وجرد المكان وعدم وجود وصلات كهربائية غير مؤمنة.</t>
    </r>
  </si>
  <si>
    <r>
      <rPr>
        <rFont val="Times New Roman"/>
        <b/>
        <color theme="1"/>
        <sz val="12.0"/>
      </rPr>
      <t>حفظ العبوات المعقمة فى حاويات مغلقة ,أو دولاب مغلق.</t>
    </r>
  </si>
  <si>
    <r>
      <rPr>
        <rFont val="Times New Roman"/>
        <b/>
        <color theme="1"/>
        <sz val="14.0"/>
      </rPr>
      <t>2. وحدة غسيل المفروشات:</t>
    </r>
  </si>
  <si>
    <r>
      <rPr>
        <rFont val="Times New Roman"/>
        <b/>
        <color theme="1"/>
        <sz val="12.0"/>
      </rPr>
      <t xml:space="preserve">مسار إستلام المفروشات الملوثة حتى تسليمها نظيفة
الإلتزام بخط السير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مدخل لإستلام و فرز المفروشات الملوثة 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منطقة لتنظيف المفروشات الملوثة 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منطقة تجفيف المفروشات النظيفة .
 منطقة فرز المفروشات النظيفة.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منطقة تخزين المفروشات النظيفة 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منطقة مخرج لإستلام المفروشات النظيفة .
 منطقة لحفظ  المواد الكيماوية.</t>
    </r>
  </si>
  <si>
    <r>
      <rPr>
        <rFont val="Times New Roman"/>
        <b/>
        <color theme="1"/>
        <sz val="12.0"/>
      </rPr>
      <t>الإلتزام بالمسار في المغسلة من المتسخ الي النظيف مع عنونة المناطق المختلفة بالمغسلة.</t>
    </r>
  </si>
  <si>
    <r>
      <rPr>
        <rFont val="Times New Roman"/>
        <b/>
        <color theme="1"/>
        <sz val="12.0"/>
      </rPr>
      <t xml:space="preserve">وجود غسالة تعمل بكفاءة ولها كارت تعريف وكارت صيانة </t>
    </r>
  </si>
  <si>
    <r>
      <rPr>
        <rFont val="Times New Roman"/>
        <b/>
        <color theme="1"/>
        <sz val="12.0"/>
      </rPr>
      <t>وجود حاويات معرفة للغسيل المتسخ , , أخرى لنقل الغسيل النظيف.</t>
    </r>
  </si>
  <si>
    <r>
      <rPr>
        <rFont val="Times New Roman"/>
        <b/>
        <color theme="1"/>
        <sz val="12.0"/>
      </rPr>
      <t>وجود حاويات معرفة أو دولاب للغسيل النظيف</t>
    </r>
  </si>
  <si>
    <r>
      <rPr>
        <rFont val="Times New Roman"/>
        <b/>
        <color theme="1"/>
        <sz val="12.0"/>
      </rPr>
      <t>وجود جدول  معلن بمواعيد إستلام المفروشات النظيفة ووجود سجلات تسليم وتسلم المفروشات</t>
    </r>
  </si>
  <si>
    <r>
      <rPr>
        <rFont val="Times New Roman"/>
        <b/>
        <color theme="1"/>
        <sz val="12.0"/>
      </rPr>
      <t>يوجد سجل لإستلام المفروشات الملوثة من العيادات.</t>
    </r>
  </si>
  <si>
    <r>
      <rPr>
        <rFont val="Times New Roman"/>
        <b/>
        <color theme="1"/>
        <sz val="12.0"/>
      </rPr>
      <t>يوجد سجل تسليم المفروشات النظيفة للعيادات.</t>
    </r>
  </si>
  <si>
    <r>
      <rPr>
        <rFont val="Times New Roman"/>
        <b/>
        <color theme="1"/>
        <sz val="14.0"/>
      </rPr>
      <t>سكن الفريق الطبى ( أطباء – تمريض):</t>
    </r>
  </si>
  <si>
    <r>
      <rPr>
        <rFont val="Times New Roman"/>
        <b/>
        <color theme="1"/>
        <sz val="12.0"/>
      </rPr>
      <t>وجود التجهيزات و المستلزمات اللازمة للسكن.</t>
    </r>
  </si>
  <si>
    <r>
      <rPr>
        <rFont val="Times New Roman"/>
        <b/>
        <color theme="1"/>
        <sz val="12.0"/>
      </rPr>
      <t>نظافه المكان والسباكة جيدة وعدم وجود رواكد.</t>
    </r>
  </si>
  <si>
    <r>
      <rPr>
        <rFont val="Times New Roman"/>
        <b/>
        <color theme="1"/>
        <sz val="14.0"/>
      </rPr>
      <t>السطح:</t>
    </r>
  </si>
  <si>
    <r>
      <rPr>
        <rFont val="Times New Roman"/>
        <b/>
        <color theme="1"/>
        <sz val="12.0"/>
      </rPr>
      <t>السطح نظيف لا يوجد أى:  تخزين عشوائي – رواكد-  نفايات - أسلاك مكشوفة.</t>
    </r>
  </si>
  <si>
    <r>
      <rPr>
        <rFont val="Times New Roman"/>
        <b/>
        <color theme="1"/>
        <sz val="12.0"/>
      </rPr>
      <t>السلم الموصل للسطح سليم ومؤمن وعدم وجود معوقات</t>
    </r>
  </si>
  <si>
    <r>
      <rPr>
        <rFont val="Times New Roman"/>
        <b/>
        <color theme="1"/>
        <sz val="12.0"/>
      </rPr>
      <t>سور السطح سليم وليس به كسور أو تشققات</t>
    </r>
  </si>
  <si>
    <r>
      <rPr>
        <rFont val="Times New Roman"/>
        <b/>
        <color theme="1"/>
        <sz val="14.0"/>
      </rPr>
      <t>خزان المياه:</t>
    </r>
  </si>
  <si>
    <r>
      <rPr>
        <rFont val="Times New Roman"/>
        <b/>
        <color theme="1"/>
        <sz val="12.0"/>
      </rPr>
      <t xml:space="preserve">خزانات المياه نظيفة. </t>
    </r>
  </si>
  <si>
    <r>
      <rPr>
        <rFont val="Times New Roman"/>
        <b/>
        <color theme="1"/>
        <sz val="12.0"/>
      </rPr>
      <t>يتم الفحص الدوري للخزانات مع توثيق ذلك .</t>
    </r>
  </si>
  <si>
    <r>
      <rPr>
        <rFont val="Times New Roman"/>
        <b/>
        <color theme="1"/>
        <sz val="12.0"/>
      </rPr>
      <t xml:space="preserve">التأكد من محاضر غسيل وتطهير الخزانات ك
صيفاً: مرة شهريا .
 شتاءً: من شهرين – ثلاثة أشهر </t>
    </r>
  </si>
  <si>
    <r>
      <rPr>
        <rFont val="Times New Roman"/>
        <b/>
        <color theme="1"/>
        <sz val="12.0"/>
      </rPr>
      <t>مراجعة عينات المياه وتسجيلها بسجل نتائج العينات.</t>
    </r>
  </si>
  <si>
    <r>
      <rPr>
        <rFont val="Times New Roman"/>
        <b/>
        <color theme="1"/>
        <sz val="14.0"/>
      </rPr>
      <t>النفايات:</t>
    </r>
  </si>
  <si>
    <r>
      <rPr>
        <rFont val="Times New Roman"/>
        <b/>
        <color theme="1"/>
        <sz val="12.0"/>
      </rPr>
      <t>ترخيص تداول النفايات الطبية الخطرة ساري (طبقا لقانون رقم 4 لسنه 1994 ولائحته التنفيذية وقرار وزير الصحه رقم 192 لسنه 2001)</t>
    </r>
  </si>
  <si>
    <r>
      <rPr>
        <rFont val="Times New Roman"/>
        <b/>
        <color theme="1"/>
        <sz val="12.0"/>
      </rPr>
      <t>يوجد تعاقد ساري لنقل النفايات الطبية الخطرة مع ( مديرية الشئون الصحية)</t>
    </r>
  </si>
  <si>
    <r>
      <rPr>
        <rFont val="Times New Roman"/>
        <b/>
        <color theme="1"/>
        <sz val="12.0"/>
      </rPr>
      <t>التأكد من وجود شخص مسئول عن الغرف.</t>
    </r>
  </si>
  <si>
    <r>
      <rPr>
        <rFont val="Times New Roman"/>
        <b/>
        <color theme="1"/>
        <sz val="12.0"/>
      </rPr>
      <t xml:space="preserve">مواصفات غرفة تجميع النفايات الخطرة من الخارج: 
 مغلقة ومؤمنة
 لافتة تحمل عنوان: غرفة نفايات طبية خطرة و علامة النفايات الخطرة
 مواعيد  الإستلام والتسليم معلنة </t>
    </r>
  </si>
  <si>
    <r>
      <rPr>
        <rFont val="Times New Roman"/>
        <b/>
        <color theme="1"/>
        <sz val="12.0"/>
      </rPr>
      <t xml:space="preserve">مواصفات غرفة تجميع النفايات الخطرة من الداخل:
 للغرفة  بابين ( باب دخول وباب خروج)
 الأرضيات و الحوائط  من مادة سهلة التنظيف 
 بها مصدر للتهوية به سلك معدني ضيق الفتحات لمنع دخول الحشرات والقوارض
 حوض 
 مصدر للصرف
 ميزان
 واقيات شخصية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سجل لإستلام النفايات من العيادات يشمل  (التاريخ/الساعة- العيادة – العدد- الوزن - توقيع المسلم  و المستلم ثلاثي).
  و آخر لتسليم النفايات من الغرفة للجهة المتعاقد معها لنقل النفايات.</t>
    </r>
  </si>
  <si>
    <r>
      <rPr>
        <rFont val="Times New Roman"/>
        <b/>
        <color theme="1"/>
        <sz val="12.0"/>
      </rPr>
      <t>أكياس النفايات الطبية الخطرة مغلقة جيدا ومعنونة بإسم العيادة  والوزن والتاريخ.</t>
    </r>
  </si>
  <si>
    <r>
      <rPr>
        <rFont val="Times New Roman"/>
        <b/>
        <color theme="1"/>
        <sz val="12.0"/>
      </rPr>
      <t>توجد حاويات لوضع أكياس النفايات بها لمنع التسرب</t>
    </r>
  </si>
  <si>
    <r>
      <rPr>
        <rFont val="Times New Roman"/>
        <b/>
        <color theme="1"/>
        <sz val="12.0"/>
      </rPr>
      <t xml:space="preserve">إلتزام  العمال بإرتداء الواقيات الشخصية. </t>
    </r>
  </si>
  <si>
    <r>
      <rPr>
        <rFont val="Times New Roman"/>
        <b/>
        <color theme="1"/>
        <sz val="12.0"/>
      </rPr>
      <t>توجد عربات لنقل النفايات محكمة الغلق</t>
    </r>
  </si>
  <si>
    <r>
      <rPr>
        <rFont val="Times New Roman"/>
        <b/>
        <color theme="1"/>
        <sz val="12.0"/>
      </rPr>
      <t>عدم وجود أكياس نفايات ممزقة أو يوجد تسريب بها .</t>
    </r>
  </si>
  <si>
    <r>
      <rPr>
        <rFont val="Times New Roman"/>
        <b/>
        <color theme="1"/>
        <sz val="12.0"/>
      </rPr>
      <t>يتم فصل النفايات بطريقة صحيحة.</t>
    </r>
  </si>
  <si>
    <r>
      <rPr>
        <rFont val="Times New Roman"/>
        <b/>
        <color theme="1"/>
        <sz val="12.0"/>
      </rPr>
      <t>سجل تسليم النفايات من غرفة النفايات إلى خارج الوحدة.</t>
    </r>
  </si>
  <si>
    <r>
      <rPr>
        <rFont val="Times New Roman"/>
        <b/>
        <color theme="1"/>
        <sz val="14.0"/>
      </rPr>
      <t>مخزن المستديم و الرواكد:</t>
    </r>
  </si>
  <si>
    <r>
      <rPr>
        <rFont val="Times New Roman"/>
        <b/>
        <color theme="1"/>
        <sz val="12.0"/>
      </rPr>
      <t>وجود شخص مسئول عن المخزن .</t>
    </r>
  </si>
  <si>
    <r>
      <rPr>
        <rFont val="Times New Roman"/>
        <b/>
        <color theme="1"/>
        <sz val="12.0"/>
      </rPr>
      <t xml:space="preserve">نظافة و  ترتيب المكان وعدم التخزين العشوائي و التكدس </t>
    </r>
  </si>
  <si>
    <r>
      <rPr>
        <rFont val="Times New Roman"/>
        <b/>
        <color theme="1"/>
        <sz val="12.0"/>
      </rPr>
      <t>أرفف سهلة التنظيف  وتعريف الأرفف و المحتويات به.</t>
    </r>
  </si>
  <si>
    <r>
      <rPr>
        <rFont val="Times New Roman"/>
        <b/>
        <color theme="1"/>
        <sz val="12.0"/>
      </rPr>
      <t>المخزن مؤمن من مخاطر الحريق.</t>
    </r>
  </si>
  <si>
    <r>
      <rPr>
        <rFont val="Times New Roman"/>
        <b/>
        <color theme="1"/>
        <sz val="12.0"/>
      </rPr>
      <t>توافر قوائم بجميع محتويات المخازن وتصنيفها وعدد كل منها و قوائم بمحتويات الارفف و الدواليب</t>
    </r>
  </si>
  <si>
    <r>
      <rPr>
        <rFont val="Times New Roman"/>
        <b/>
        <color theme="1"/>
        <sz val="12.0"/>
      </rPr>
      <t>يتم فصل الأجهزة و العهدة المستديمة في المخزن</t>
    </r>
  </si>
  <si>
    <r>
      <rPr>
        <rFont val="Times New Roman"/>
        <b/>
        <color theme="1"/>
        <sz val="12.0"/>
      </rPr>
      <t>توافر قوائم بجميع محتويات المخازن الراكدة وتصنيفها وعدد كل منها</t>
    </r>
  </si>
  <si>
    <r>
      <rPr>
        <rFont val="Times New Roman"/>
        <b/>
        <color theme="1"/>
        <sz val="12.0"/>
      </rPr>
      <t>عدم وجود كهنة , و إن وُجدت فتوجد مخاطبات من أجل طلبات التكهين</t>
    </r>
  </si>
  <si>
    <r>
      <rPr>
        <rFont val="Times New Roman"/>
        <b/>
        <color theme="1"/>
        <sz val="12.0"/>
      </rPr>
      <t xml:space="preserve">مسئول المخزن على علم و دراية </t>
    </r>
    <r>
      <rPr>
        <rFont val="TimesNewRomanPS-BoldMT"/>
        <b/>
        <color theme="1"/>
        <sz val="12.0"/>
      </rPr>
      <t>بمدة الإحتفاظ بالسجلات</t>
    </r>
    <r>
      <rPr>
        <rFont val="Times New Roman"/>
        <b/>
        <color theme="1"/>
        <sz val="12.0"/>
      </rPr>
      <t>: 
 الإحتفاظ بالمحفوظات المستديمة (سجلات  الميزانية والمرتبات) دون الإستغناء عنها.
 الدفاتر المالية مدة 15 عام 
 حوافظ التوريد وتقارير التفتيش لمدة 10 سنوات
 محاضر الجرد وجميع الدفاتر الخاصة بحسابات المخازن لمدة 5 سنوات.</t>
    </r>
  </si>
  <si>
    <r>
      <rPr>
        <rFont val="Times New Roman"/>
        <b/>
        <color theme="1"/>
        <sz val="12.0"/>
      </rPr>
      <t>يتم وضع كروت تعريف على كل عهدة  بخط واضح</t>
    </r>
  </si>
  <si>
    <r>
      <rPr>
        <rFont val="Times New Roman"/>
        <b/>
        <color theme="1"/>
        <sz val="12.0"/>
      </rPr>
      <t>يتم وضع كروت تعريف على الاجهزة موضح  عليها بيانات كل جهاز</t>
    </r>
  </si>
  <si>
    <r>
      <rPr>
        <rFont val="Times New Roman"/>
        <b/>
        <color theme="1"/>
        <sz val="12.0"/>
      </rPr>
      <t xml:space="preserve">يوجد ترمومتر بالمخزن و يتم تسجيل درجة الحرارة و الرطوبة </t>
    </r>
  </si>
  <si>
    <r>
      <rPr>
        <rFont val="Times New Roman"/>
        <b/>
        <color theme="1"/>
        <sz val="12.0"/>
      </rPr>
      <t>يوجد خريطة للمخزن موضح بها مكان جميع محتويات المخزن وفي حالة وجود أكثر من مخزن يتم عمل خريطة لكل واحد</t>
    </r>
  </si>
  <si>
    <r>
      <rPr>
        <rFont val="Times New Roman"/>
        <b/>
        <color theme="1"/>
        <sz val="12.0"/>
      </rPr>
      <t xml:space="preserve">يوجد سجل المعلومات الأساسية الخاصة بعناصر المخزون يشمل :      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تاريخ الإستلام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رقم التسلسل التعريفي )الرقم الكودي  .( lot number-استيفاء أو عدم استيفاء معايير القبول، وإذا تطلب الأمر أي متابعة.
 تاريخ دخول الخدمة أو تاريخ التخلص منهاإاستبعادها في حالة عدم إستخدامها.</t>
    </r>
  </si>
  <si>
    <r>
      <rPr>
        <rFont val="Times New Roman"/>
        <b/>
        <color theme="1"/>
        <sz val="12.0"/>
      </rPr>
      <t xml:space="preserve"> يوجد نظام التحكم في رصيد الأصناف والذي يتضمن تحديد معدل الإستخدام، وحدود تكرار طلب كل عنصر، ومراقبة حالات نفاد المخزون . </t>
    </r>
  </si>
  <si>
    <r>
      <rPr>
        <rFont val="Times New Roman"/>
        <b/>
        <color theme="1"/>
        <sz val="14.0"/>
      </rPr>
      <t>شـئون العاملين:</t>
    </r>
  </si>
  <si>
    <r>
      <rPr>
        <rFont val="TimesNewRomanPS-BoldMT"/>
        <b/>
        <color theme="1"/>
        <sz val="12.0"/>
      </rPr>
      <t xml:space="preserve">وجود خطة التوظيف تحدد العدد التقديري المطلوب من العاملين والمهارات المطلوبة لتلبية إحتياجات الوحدة / المركز. </t>
    </r>
  </si>
  <si>
    <r>
      <rPr>
        <rFont val="TimesNewRomanPS-BoldMT"/>
        <b/>
        <color theme="1"/>
        <sz val="12.0"/>
      </rPr>
      <t>يتم مراجعة الخطة سنويا وتحديثها.</t>
    </r>
  </si>
  <si>
    <r>
      <rPr>
        <rFont val="Times New Roman"/>
        <b/>
        <color theme="1"/>
        <sz val="12.0"/>
      </rPr>
      <t xml:space="preserve">يوجد ملف فرعى لكل موظف بالوحدة يحتوي على الأقل على :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صورة الرقم القومي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شهادة التخرج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ترخيص مزاولة المهنة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صحيفة الحالة الجنائية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برنامج التهيئة (العام - للعيادة المكلف للعمل به  -للوظيفة) موقع من الموظف بالحصول على برنامج التهيئة.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التوصيف الوظيفي معتمد وموقع عليه بالعلم من قِبل الموظف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الدورات التدريبية وخبرات العمل السابقة.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أوامر تكليف.
 الشهادات التدريبية ( سواء تدريب داخلى أو خارجى).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الإقرارات سرية البيانات الحقوق والواجبات -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المحظورات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الإجراءات التأديبية / الجزاءات .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التقييم خلال 3 أشهر من إستلام العمل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تقييم الأداء / السنوي والتوثيق التغدية الراجعة من قبل الموظف على التقييم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تقييم و قياس كفاءة الفريق الطبى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الإمتيازات الاكلينكية (خاصة باطباء البشري والاسنان)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التقارير السرية السنوية
</t>
    </r>
    <r>
      <rPr>
        <rFont val="Wingdings"/>
        <b/>
        <color theme="1"/>
        <sz val="12.0"/>
      </rPr>
      <t></t>
    </r>
    <r>
      <rPr>
        <rFont val="TimesNewRomanPS-BoldMT"/>
        <b/>
        <color theme="1"/>
        <sz val="12.0"/>
      </rPr>
      <t xml:space="preserve"> الإجازات
 المكاتبات / الأجور المتغيرة / الترقيات </t>
    </r>
  </si>
  <si>
    <r>
      <rPr>
        <rFont val="TimesNewRomanPS-BoldMT"/>
        <b/>
        <color theme="1"/>
        <sz val="12.0"/>
      </rPr>
      <t>يتم تخزين ملفات الموظفين في دولاب مؤمن .</t>
    </r>
  </si>
  <si>
    <r>
      <rPr>
        <rFont val="Times New Roman"/>
        <b/>
        <color theme="1"/>
        <sz val="14.0"/>
      </rPr>
      <t>إدارة المعلومات:</t>
    </r>
  </si>
  <si>
    <r>
      <rPr>
        <rFont val="Times New Roman"/>
        <b/>
        <color theme="1"/>
        <sz val="12.0"/>
      </rPr>
      <t>الإلتزام بمدة الإحتفاظ بالسجلات والبيانات والمعلومات</t>
    </r>
    <r>
      <rPr>
        <rFont val="Times New Roman"/>
        <b/>
        <color rgb="FFC00000"/>
        <sz val="12.0"/>
        <u/>
      </rPr>
      <t xml:space="preserve"> ( لائحة المحفوظات)</t>
    </r>
  </si>
  <si>
    <r>
      <rPr>
        <rFont val="Times New Roman"/>
        <b/>
        <color theme="1"/>
        <sz val="12.0"/>
      </rPr>
      <t>العاملين على دراية بطرق الإستجابة إلى أوقات تعطل نظم البيانات المخطط لها والغير المخطط لها.</t>
    </r>
  </si>
  <si>
    <r>
      <rPr>
        <rFont val="Times New Roman"/>
        <b/>
        <color theme="1"/>
        <sz val="12.0"/>
      </rPr>
      <t>يوجد سجل لتسجيل المنتفعين فى حالة توقف المنظومة.</t>
    </r>
  </si>
  <si>
    <r>
      <rPr>
        <rFont val="Times New Roman"/>
        <b/>
        <color theme="1"/>
        <sz val="12.0"/>
      </rPr>
      <t>يتم التأكد من تسجيل البيانات على المنظومة بعد زوال سبب التوقف.</t>
    </r>
  </si>
  <si>
    <r>
      <rPr>
        <rFont val="Times New Roman"/>
        <b/>
        <color theme="1"/>
        <sz val="14.0"/>
      </rPr>
      <t>مكافحة العدوى بالوحدة / المركز:</t>
    </r>
  </si>
  <si>
    <r>
      <rPr>
        <rFont val="Times New Roman"/>
        <b/>
        <color theme="1"/>
        <sz val="12.0"/>
      </rPr>
      <t>يتم إتباع تعليمات مكافحة العدوى عند التعامل مع النيبولايزر</t>
    </r>
  </si>
  <si>
    <r>
      <rPr>
        <rFont val="Times New Roman"/>
        <b/>
        <color theme="1"/>
        <sz val="12.0"/>
      </rPr>
      <t>يتم الإلتزام بغسل الأيدي طبقاً لكل إجراء  طبى أو تمريضى</t>
    </r>
  </si>
  <si>
    <r>
      <rPr>
        <rFont val="Times New Roman"/>
        <b/>
        <color theme="1"/>
        <sz val="12.0"/>
      </rPr>
      <t xml:space="preserve">تتوفر أدوات الوقاية الشخصية </t>
    </r>
  </si>
  <si>
    <r>
      <rPr>
        <rFont val="Times New Roman"/>
        <b/>
        <color theme="1"/>
        <sz val="12.0"/>
      </rPr>
      <t>يتم الإلتزام باستخدام أدوات الوقاية الشخصية المناسبة</t>
    </r>
  </si>
  <si>
    <r>
      <rPr>
        <rFont val="Times New Roman"/>
        <b/>
        <color theme="1"/>
        <sz val="12.0"/>
      </rPr>
      <t>توافر سياسة عدم الوخزمع وجود سجل لحالات الوخز و نموذج للإبلاغ.</t>
    </r>
  </si>
  <si>
    <r>
      <rPr>
        <rFont val="Times New Roman"/>
        <b/>
        <color theme="1"/>
        <sz val="12.0"/>
      </rPr>
      <t>يتم إتباع تعليمات مكافحة العدوى عند الغيار علي الجروح</t>
    </r>
  </si>
  <si>
    <r>
      <rPr>
        <rFont val="Times New Roman"/>
        <b/>
        <color theme="1"/>
        <sz val="12.0"/>
      </rPr>
      <t>الآلات المعقمة مغلفة ومخزنة بطريقة صحيحة ومسجل عليها تاريخ الصلاحية</t>
    </r>
  </si>
  <si>
    <r>
      <rPr>
        <rFont val="Times New Roman"/>
        <b/>
        <color theme="1"/>
        <sz val="12.0"/>
      </rPr>
      <t>لا يتم التعامل مع الآلات الملوثة داخل العيادة وترسل في حاوية مغلقة بها ماء وصابون إلى التعقيم المركزي</t>
    </r>
  </si>
  <si>
    <r>
      <rPr>
        <rFont val="Times New Roman"/>
        <b/>
        <color theme="1"/>
        <sz val="12.0"/>
      </rPr>
      <t>يتم فصل النفايات والمخلفات الطبية بطريقة صحيحة</t>
    </r>
  </si>
  <si>
    <r>
      <rPr>
        <rFont val="Times New Roman"/>
        <b/>
        <color theme="1"/>
        <sz val="12.0"/>
      </rPr>
      <t>يتم  تخزين و توزيع البياضات النظيفة طبقا لتعليمات مكافحة العدوى</t>
    </r>
  </si>
  <si>
    <r>
      <rPr>
        <rFont val="Times New Roman"/>
        <b/>
        <color theme="1"/>
        <sz val="12.0"/>
      </rPr>
      <t>يتم جمع البياضات الملوثة طبقا لتعليمات مكافحة العدوى</t>
    </r>
  </si>
  <si>
    <r>
      <rPr>
        <rFont val="Times New Roman"/>
        <b/>
        <color theme="1"/>
        <sz val="12.0"/>
      </rPr>
      <t>توجد قائمة بأسماء العاملين تسجل بها جرعات وتواريخ التطعيم  ضد HBV</t>
    </r>
  </si>
  <si>
    <r>
      <rPr>
        <rFont val="Times New Roman"/>
        <b/>
        <color theme="1"/>
        <sz val="12.0"/>
      </rPr>
      <t xml:space="preserve">توجد قائمة بالأمراض المعدية التي تتطلب الإبلاغ عنها طبقا للوائح و القوانين </t>
    </r>
  </si>
  <si>
    <r>
      <rPr>
        <rFont val="Times New Roman"/>
        <b/>
        <color theme="1"/>
        <sz val="12.0"/>
      </rPr>
      <t xml:space="preserve">يتم عمل تقرير بالمرضى المشتبه في إصابتهم بأمراض معدية </t>
    </r>
  </si>
  <si>
    <r>
      <rPr>
        <rFont val="Times New Roman"/>
        <b/>
        <color theme="1"/>
        <sz val="12.0"/>
      </rPr>
      <t>جميع الأجهزة لا يعلوها الغبار و الأتربة</t>
    </r>
  </si>
  <si>
    <r>
      <rPr>
        <rFont val="Times New Roman"/>
        <b/>
        <color theme="1"/>
        <sz val="12.0"/>
      </rPr>
      <t>توافر حقيبة الإنسكابات والعاملون مدربون عليها</t>
    </r>
  </si>
  <si>
    <r>
      <rPr>
        <rFont val="Times New Roman"/>
        <b/>
        <color theme="1"/>
        <sz val="14.0"/>
      </rPr>
      <t>النظافة :</t>
    </r>
  </si>
  <si>
    <r>
      <rPr>
        <rFont val="Times New Roman"/>
        <b/>
        <color theme="1"/>
        <sz val="12.0"/>
      </rPr>
      <t xml:space="preserve">تتوافر معدات و مستلزمات النظافة </t>
    </r>
  </si>
  <si>
    <r>
      <rPr>
        <rFont val="Times New Roman"/>
        <b/>
        <color theme="1"/>
        <sz val="12.0"/>
      </rPr>
      <t>توجد جداول للتنظيف والتطهير اليومي والدوري للوحدة/ المركز معلنة و مطبقة</t>
    </r>
  </si>
  <si>
    <r>
      <rPr>
        <rFont val="Times New Roman"/>
        <b/>
        <color theme="1"/>
        <sz val="12.0"/>
      </rPr>
      <t>جداول للتنظيف والتطهير اليومي والدوري لدورات المياه معلنة و مطبقة.</t>
    </r>
  </si>
  <si>
    <r>
      <rPr>
        <rFont val="Times New Roman"/>
        <b/>
        <color theme="1"/>
        <sz val="12.0"/>
      </rPr>
      <t>العاملون علي علم بالطريقة الصحيحة لتنظيف وتطهير أسطح العمل</t>
    </r>
  </si>
  <si>
    <r>
      <rPr>
        <rFont val="Times New Roman"/>
        <b/>
        <color theme="1"/>
        <sz val="12.0"/>
      </rPr>
      <t xml:space="preserve">يلتزم عمال النظافة بالزى الرسمي لهم مع وجود بادج تعريف لكل منهم </t>
    </r>
  </si>
  <si>
    <r>
      <rPr>
        <rFont val="Times New Roman"/>
        <b/>
        <color theme="1"/>
        <sz val="12.0"/>
      </rPr>
      <t>يرتدي عمال النظافة المستلزمات الواقية أثناء التنظيف</t>
    </r>
  </si>
  <si>
    <r>
      <rPr>
        <rFont val="Times New Roman"/>
        <b/>
        <color theme="1"/>
        <sz val="12.0"/>
      </rPr>
      <t>يتم التعامل مع الانسكابات الدموية وفقا لتعليمات مكافحة العدوى</t>
    </r>
  </si>
  <si>
    <r>
      <rPr>
        <rFont val="Times New Roman"/>
        <b/>
        <color theme="1"/>
        <sz val="12.0"/>
      </rPr>
      <t>لا توجد حشرات زاحفة أو طائرة أو حيوانات ضالة</t>
    </r>
  </si>
  <si>
    <r>
      <rPr>
        <rFont val="Times New Roman"/>
        <b/>
        <color theme="1"/>
        <sz val="14.0"/>
      </rPr>
      <t xml:space="preserve">العلاج الطبيعى: </t>
    </r>
  </si>
  <si>
    <r>
      <rPr>
        <rFont val="Times New Roman"/>
        <b/>
        <color theme="1"/>
        <sz val="14.0"/>
      </rPr>
      <t>الإشتراطات العامة:</t>
    </r>
  </si>
  <si>
    <r>
      <rPr>
        <rFont val="Times New Roman"/>
        <b/>
        <color theme="1"/>
        <sz val="12.0"/>
      </rPr>
      <t>يفضل أن يكون المركز في الدور الأرضي ( و إذا تواجد فى طابق علوى لابد من توفير مصعد مناسب لإستخدام ذوي الإحتياجات الخاصة).</t>
    </r>
  </si>
  <si>
    <r>
      <rPr>
        <rFont val="Times New Roman"/>
        <b/>
        <color theme="1"/>
        <sz val="12.0"/>
      </rPr>
      <t xml:space="preserve">غرفة  كشف وتقييم و فحص العلامات الحيوية. </t>
    </r>
  </si>
  <si>
    <r>
      <rPr>
        <rFont val="Times New Roman"/>
        <b/>
        <color theme="1"/>
        <sz val="12.0"/>
      </rPr>
      <t>غرفة إنتظار للمرضى.</t>
    </r>
  </si>
  <si>
    <r>
      <rPr>
        <rFont val="Times New Roman"/>
        <b/>
        <color theme="1"/>
        <sz val="12.0"/>
      </rPr>
      <t>دورة  مياه للمرضى , و دورة مياه مجهزة لإستخدام ذوي الإحتياجات الخاصة.</t>
    </r>
  </si>
  <si>
    <r>
      <rPr>
        <rFont val="Times New Roman"/>
        <b/>
        <color theme="1"/>
        <sz val="12.0"/>
      </rPr>
      <t>تكون الممرات  واسعة والأرضية  غير قابلة للإنزلاق مناسبة لإستخدام ذوي الإحتياجات الخاصة.</t>
    </r>
  </si>
  <si>
    <r>
      <rPr>
        <rFont val="Times New Roman"/>
        <b/>
        <color theme="1"/>
        <sz val="12.0"/>
      </rPr>
      <t xml:space="preserve">صالة تمارين علاجية </t>
    </r>
  </si>
  <si>
    <r>
      <rPr>
        <rFont val="Times New Roman"/>
        <b/>
        <color theme="1"/>
        <sz val="12.0"/>
      </rPr>
      <t>أن تخصص في أماكن العلاج فواصل أو ستائر بحيث يتوفر لكل مراجع الحرية الشخصية اللائقة.</t>
    </r>
  </si>
  <si>
    <r>
      <rPr>
        <rFont val="Times New Roman"/>
        <b/>
        <color theme="1"/>
        <sz val="12.0"/>
      </rPr>
      <t>لا يجوز القيام بالعلاج الطبيعي لمن لا تسمح حالتهم الصحية بذلك إلا بأمر مكتوب من الطبيب المعالج , و إقرار موافقة مستنيرة من المريض أو ذويه.</t>
    </r>
  </si>
  <si>
    <r>
      <rPr>
        <rFont val="Times New Roman"/>
        <b/>
        <color theme="1"/>
        <sz val="12.0"/>
      </rPr>
      <t>أن تكون مساحة العيادة مناسبة والتجهيزات متوفرة وأن تكون ممراته ومداخله واسعة.</t>
    </r>
  </si>
  <si>
    <r>
      <rPr>
        <rFont val="Times New Roman"/>
        <b/>
        <color theme="1"/>
        <sz val="12.0"/>
      </rPr>
      <t>أن تخصص أماكن منفصلة لكل نوع من أنواع العلاج.</t>
    </r>
  </si>
  <si>
    <r>
      <rPr>
        <rFont val="Times New Roman"/>
        <b/>
        <color theme="1"/>
        <sz val="14.0"/>
      </rPr>
      <t>التجهيزات اللازمة  طبقاً لنوع الخدمة المقدمة:</t>
    </r>
  </si>
  <si>
    <r>
      <rPr>
        <rFont val="Times New Roman"/>
        <b/>
        <color theme="1"/>
        <sz val="12.0"/>
      </rPr>
      <t>أسرة علاجية/ للتدريب و التمارين العلاجية.</t>
    </r>
  </si>
  <si>
    <r>
      <rPr>
        <rFont val="Times New Roman"/>
        <b/>
        <color theme="1"/>
        <sz val="12.0"/>
      </rPr>
      <t>جهاز قياس حركة المفاصل (جينيومتر(.</t>
    </r>
  </si>
  <si>
    <r>
      <rPr>
        <rFont val="Times New Roman"/>
        <b/>
        <color theme="1"/>
        <sz val="12.0"/>
      </rPr>
      <t>وحدة المعالجة الكهربائية.</t>
    </r>
  </si>
  <si>
    <r>
      <rPr>
        <rFont val="Times New Roman"/>
        <b/>
        <color theme="1"/>
        <sz val="12.0"/>
      </rPr>
      <t>مشاية.</t>
    </r>
  </si>
  <si>
    <r>
      <rPr>
        <rFont val="Times New Roman"/>
        <b/>
        <color theme="1"/>
        <sz val="12.0"/>
      </rPr>
      <t>جهاز مشاية كهربائي .</t>
    </r>
  </si>
  <si>
    <r>
      <rPr>
        <rFont val="Times New Roman"/>
        <b/>
        <color theme="1"/>
        <sz val="12.0"/>
      </rPr>
      <t>أطقم أحزمة علاجية ( تحريك – مشى).</t>
    </r>
  </si>
  <si>
    <r>
      <rPr>
        <rFont val="Times New Roman"/>
        <b/>
        <color theme="1"/>
        <sz val="12.0"/>
      </rPr>
      <t>المرآة الحائطية و المرآة المتحركة.</t>
    </r>
  </si>
  <si>
    <r>
      <rPr>
        <rFont val="Times New Roman"/>
        <b/>
        <color theme="1"/>
        <sz val="12.0"/>
      </rPr>
      <t>المعالجة  بشمع البارافين.</t>
    </r>
  </si>
  <si>
    <r>
      <rPr>
        <rFont val="Times New Roman"/>
        <b/>
        <color theme="1"/>
        <sz val="12.0"/>
      </rPr>
      <t>ممارسة الدراجة.</t>
    </r>
  </si>
  <si>
    <r>
      <rPr>
        <rFont val="Times New Roman"/>
        <b/>
        <color theme="1"/>
        <sz val="12.0"/>
      </rPr>
      <t>عجلات كتف مثبتة على الحائط.</t>
    </r>
  </si>
  <si>
    <r>
      <rPr>
        <rFont val="Times New Roman"/>
        <b/>
        <color theme="1"/>
        <sz val="12.0"/>
      </rPr>
      <t>آلة تقريب / تبعيد الساق.</t>
    </r>
  </si>
  <si>
    <r>
      <rPr>
        <rFont val="Times New Roman"/>
        <b/>
        <color theme="1"/>
        <sz val="12.0"/>
      </rPr>
      <t>أوزان الرمال.</t>
    </r>
  </si>
  <si>
    <r>
      <rPr>
        <rFont val="Times New Roman"/>
        <b/>
        <color theme="1"/>
        <sz val="12.0"/>
      </rPr>
      <t>الأشعة تحت الحمراء.</t>
    </r>
  </si>
  <si>
    <r>
      <rPr>
        <rFont val="Times New Roman"/>
        <b/>
        <color theme="1"/>
        <sz val="12.0"/>
      </rPr>
      <t>الأشعة الفوق بنفسجية.</t>
    </r>
  </si>
  <si>
    <r>
      <rPr>
        <rFont val="Times New Roman"/>
        <b/>
        <color theme="1"/>
        <sz val="12.0"/>
      </rPr>
      <t>جهاز تحريك المفصل .</t>
    </r>
  </si>
  <si>
    <r>
      <rPr>
        <rFont val="Times New Roman"/>
        <b/>
        <color theme="1"/>
        <sz val="14.0"/>
      </rPr>
      <t>السجلات :</t>
    </r>
  </si>
  <si>
    <r>
      <rPr>
        <rFont val="Times New Roman"/>
        <b/>
        <color theme="1"/>
        <sz val="12.0"/>
      </rPr>
      <t>وجود سجل لتسجيل المرضى يشمل على الأقل  البيانات التالية:
إسم المريض الرباعى -  رقم الملف / الإيصال - السن - عنوانه - تاريخ الزيارة الأولى - الجهة التي أحالته، نوع العلاج الذي أعطي له ( نوع الجلسة)- إسم القائم بالعلاج ( إعطاء الجلسة) -  تاريخ الزيارة القادمة – مواعيد الجلسات(.</t>
    </r>
  </si>
  <si>
    <r>
      <rPr>
        <rFont val="Times New Roman"/>
        <b/>
        <color theme="1"/>
        <sz val="12.0"/>
      </rPr>
      <t xml:space="preserve">يمنح المريض بطاقة يدون فيها: 
إسم المريض الرباعى- رقم الملف / الإيصال -  مواعيد الجلسات - نوع العلاج . </t>
    </r>
  </si>
  <si>
    <r>
      <rPr>
        <rFont val="Times New Roman"/>
        <b/>
        <color theme="1"/>
        <sz val="12.0"/>
      </rPr>
      <t>وضع  قائمة  بالخدمات الصحية و أسعارها  في مكان بارز وبخط واضح.</t>
    </r>
  </si>
  <si>
    <r>
      <rPr>
        <rFont val="Times New Roman"/>
        <b/>
        <color theme="1"/>
        <sz val="14.0"/>
      </rPr>
      <t>مكافحة العدوى بالعلاج الطبيعى:</t>
    </r>
  </si>
  <si>
    <r>
      <rPr>
        <rFont val="Times New Roman"/>
        <b/>
        <color theme="1"/>
        <sz val="12.0"/>
      </rPr>
      <t>يتم تنظيف وتطهير معدات العلاج الطبيعي بشكل دوري وبعد كل مريض.</t>
    </r>
  </si>
  <si>
    <r>
      <rPr>
        <rFont val="Times New Roman"/>
        <b/>
        <color theme="1"/>
        <sz val="12.0"/>
      </rPr>
      <t>يوجد جدول زمني لأنشطة التنظيف والتطهير.</t>
    </r>
  </si>
  <si>
    <r>
      <rPr>
        <rFont val="Times New Roman"/>
        <b/>
        <color theme="1"/>
        <sz val="12.0"/>
      </rPr>
      <t>وجود كارت تعريف و كارت صيانة دورية لكل جهاز.</t>
    </r>
  </si>
  <si>
    <t>تقييم غرفة المشورة الأسرية</t>
  </si>
  <si>
    <r>
      <rPr>
        <rFont val="Times New Roman"/>
        <b/>
        <color theme="1"/>
        <sz val="16.0"/>
      </rPr>
      <t>م.</t>
    </r>
  </si>
  <si>
    <r>
      <rPr>
        <rFont val="Times New Roman"/>
        <b/>
        <color theme="1"/>
        <sz val="14.0"/>
      </rPr>
      <t xml:space="preserve">
المعـيـــار</t>
    </r>
  </si>
  <si>
    <t>التقـيـيـــــــم</t>
  </si>
  <si>
    <r>
      <rPr>
        <rFont val="Times New Roman"/>
        <b/>
        <color theme="1"/>
        <sz val="14.0"/>
      </rPr>
      <t>ملاحظات</t>
    </r>
  </si>
  <si>
    <t>التقييم</t>
  </si>
  <si>
    <r>
      <rPr>
        <rFont val="Times New Roman"/>
        <b/>
        <color rgb="FF000000"/>
        <sz val="11.0"/>
      </rPr>
      <t xml:space="preserve">القوة البشرية ( 4 مقدم مشورة مدربين) </t>
    </r>
  </si>
  <si>
    <r>
      <rPr>
        <rFont val="Times New Roman"/>
        <b/>
        <color theme="1"/>
        <sz val="11.0"/>
      </rPr>
      <t>غير متوفرة</t>
    </r>
  </si>
  <si>
    <r>
      <rPr>
        <rFont val="Times New Roman"/>
        <b/>
        <color theme="1"/>
        <sz val="11.0"/>
      </rPr>
      <t>موجودة وغير مدربة</t>
    </r>
  </si>
  <si>
    <r>
      <rPr>
        <rFont val="Times New Roman"/>
        <b/>
        <color theme="1"/>
        <sz val="11.0"/>
      </rPr>
      <t>موجودة و مدربة</t>
    </r>
  </si>
  <si>
    <r>
      <rPr>
        <rFont val="Times New Roman"/>
        <b/>
        <color rgb="FF000000"/>
        <sz val="11.0"/>
      </rPr>
      <t>وجود لوحات للإعلان عن خدمة المشورة الأسرية بالوحدة</t>
    </r>
  </si>
  <si>
    <r>
      <rPr>
        <rFont val="Times New Roman"/>
        <b/>
        <color theme="1"/>
        <sz val="11.0"/>
      </rPr>
      <t>غير موجودة</t>
    </r>
  </si>
  <si>
    <r>
      <rPr>
        <rFont val="Times New Roman"/>
        <b/>
        <color theme="1"/>
        <sz val="11.0"/>
      </rPr>
      <t>موجودة</t>
    </r>
  </si>
  <si>
    <r>
      <rPr>
        <rFont val="Times New Roman"/>
        <b/>
        <color rgb="FF000000"/>
        <sz val="11.0"/>
      </rPr>
      <t xml:space="preserve"> خط السير موضح بالوحدة ومعلق في مدخل الوحدة </t>
    </r>
  </si>
  <si>
    <r>
      <rPr>
        <rFont val="Times New Roman"/>
        <b/>
        <color theme="1"/>
        <sz val="11.0"/>
      </rPr>
      <t>غير موجودة</t>
    </r>
  </si>
  <si>
    <r>
      <rPr>
        <rFont val="Times New Roman"/>
        <b/>
        <color theme="1"/>
        <sz val="11.0"/>
      </rPr>
      <t>موجودة</t>
    </r>
  </si>
  <si>
    <r>
      <rPr>
        <rFont val="Times New Roman"/>
        <b/>
        <color rgb="FF000000"/>
        <sz val="11.0"/>
      </rPr>
      <t>وجود أسهم متصلة الى غرفة المشورة الأسرية (عدد 2 سهم على الأقل)</t>
    </r>
  </si>
  <si>
    <r>
      <rPr>
        <rFont val="Times New Roman"/>
        <b/>
        <color theme="1"/>
        <sz val="11.0"/>
      </rPr>
      <t>غير متوفرة</t>
    </r>
  </si>
  <si>
    <r>
      <rPr>
        <rFont val="Times New Roman"/>
        <b/>
        <color theme="1"/>
        <sz val="11.0"/>
      </rPr>
      <t>متوفرة</t>
    </r>
  </si>
  <si>
    <r>
      <rPr>
        <rFont val="Times New Roman"/>
        <b/>
        <color rgb="FF000000"/>
        <sz val="11.0"/>
      </rPr>
      <t>يوجد مكان مناسب لجلوس متلقى الخدمة</t>
    </r>
  </si>
  <si>
    <r>
      <rPr>
        <rFont val="Times New Roman"/>
        <b/>
        <color theme="1"/>
        <sz val="11.0"/>
      </rPr>
      <t>غير موجود</t>
    </r>
  </si>
  <si>
    <r>
      <rPr>
        <rFont val="Times New Roman"/>
        <b/>
        <color theme="1"/>
        <sz val="11.0"/>
      </rPr>
      <t>موجود</t>
    </r>
  </si>
  <si>
    <r>
      <rPr>
        <rFont val="Times New Roman"/>
        <b/>
        <color rgb="FF000000"/>
        <sz val="11.0"/>
      </rPr>
      <t>عدم وجود تكدس عند غرفة المشورة ( أقل من ٥ متلقي خدمة منتظرين)</t>
    </r>
  </si>
  <si>
    <r>
      <rPr>
        <rFont val="Times New Roman"/>
        <b/>
        <color theme="1"/>
        <sz val="11.0"/>
      </rPr>
      <t>يوجد تكدس</t>
    </r>
  </si>
  <si>
    <r>
      <rPr>
        <rFont val="Times New Roman"/>
        <b/>
        <color theme="1"/>
        <sz val="11.0"/>
      </rPr>
      <t>لا  يوجد تكدس</t>
    </r>
  </si>
  <si>
    <r>
      <rPr>
        <rFont val="Times New Roman"/>
        <b/>
        <color rgb="FF000000"/>
        <sz val="11.0"/>
      </rPr>
      <t>وجود جهاز لاب توب أو كمبيوتر</t>
    </r>
  </si>
  <si>
    <r>
      <rPr>
        <rFont val="Times New Roman"/>
        <b/>
        <color theme="1"/>
        <sz val="11.0"/>
      </rPr>
      <t>غير متوفر</t>
    </r>
  </si>
  <si>
    <r>
      <rPr>
        <rFont val="Times New Roman"/>
        <b/>
        <color theme="1"/>
        <sz val="11.0"/>
      </rPr>
      <t xml:space="preserve">به عطل </t>
    </r>
  </si>
  <si>
    <r>
      <rPr>
        <rFont val="Times New Roman"/>
        <b/>
        <color theme="1"/>
        <sz val="11.0"/>
      </rPr>
      <t>متوفر و يعمل</t>
    </r>
  </si>
  <si>
    <r>
      <rPr>
        <rFont val="Times New Roman"/>
        <b/>
        <color rgb="FF000000"/>
        <sz val="11.0"/>
      </rPr>
      <t xml:space="preserve">وجود شبكة للإتصال بالإنترنت </t>
    </r>
  </si>
  <si>
    <r>
      <rPr>
        <rFont val="Times New Roman"/>
        <b/>
        <color theme="1"/>
        <sz val="11.0"/>
      </rPr>
      <t>غير متوفرة</t>
    </r>
  </si>
  <si>
    <r>
      <rPr>
        <rFont val="Times New Roman"/>
        <b/>
        <color theme="1"/>
        <sz val="11.0"/>
      </rPr>
      <t xml:space="preserve">بها عطل </t>
    </r>
  </si>
  <si>
    <r>
      <rPr>
        <rFont val="Times New Roman"/>
        <b/>
        <color theme="1"/>
        <sz val="11.0"/>
      </rPr>
      <t>متوفرة و تعمل</t>
    </r>
  </si>
  <si>
    <t>لا يوجد انترنت</t>
  </si>
  <si>
    <r>
      <rPr>
        <rFont val="Times New Roman"/>
        <b/>
        <color theme="1"/>
        <sz val="16.0"/>
      </rPr>
      <t xml:space="preserve">                        توافر مستلزمات التشغيل:</t>
    </r>
  </si>
  <si>
    <r>
      <rPr>
        <rFont val="Times New Roman"/>
        <b/>
        <color rgb="FF000000"/>
        <sz val="11.0"/>
      </rPr>
      <t>ميزان ومقياس طول للأطفال أصغر من سنتين</t>
    </r>
  </si>
  <si>
    <r>
      <rPr>
        <rFont val="Times New Roman"/>
        <b/>
        <color theme="1"/>
        <sz val="11.0"/>
      </rPr>
      <t>غير متوفر</t>
    </r>
  </si>
  <si>
    <r>
      <rPr>
        <rFont val="Times New Roman"/>
        <b/>
        <color theme="1"/>
        <sz val="11.0"/>
      </rPr>
      <t xml:space="preserve">به عطل </t>
    </r>
  </si>
  <si>
    <r>
      <rPr>
        <rFont val="Times New Roman"/>
        <b/>
        <color theme="1"/>
        <sz val="11.0"/>
      </rPr>
      <t xml:space="preserve">متوفر </t>
    </r>
  </si>
  <si>
    <r>
      <rPr>
        <rFont val="Times New Roman"/>
        <b/>
        <color rgb="FF000000"/>
        <sz val="11.0"/>
      </rPr>
      <t>ميزان ومقياس طول للأطفال أكبر من سنتين</t>
    </r>
  </si>
  <si>
    <r>
      <rPr>
        <rFont val="Times New Roman"/>
        <b/>
        <color theme="1"/>
        <sz val="11.0"/>
      </rPr>
      <t>غير متوفر</t>
    </r>
  </si>
  <si>
    <r>
      <rPr>
        <rFont val="Times New Roman"/>
        <b/>
        <color theme="1"/>
        <sz val="11.0"/>
      </rPr>
      <t xml:space="preserve">به عطل </t>
    </r>
  </si>
  <si>
    <r>
      <rPr>
        <rFont val="Times New Roman"/>
        <b/>
        <color theme="1"/>
        <sz val="11.0"/>
      </rPr>
      <t xml:space="preserve">متوفر </t>
    </r>
  </si>
  <si>
    <r>
      <rPr>
        <rFont val="Times New Roman"/>
        <b/>
        <color rgb="FF000000"/>
        <sz val="11.0"/>
      </rPr>
      <t>أدوات تقييم التطور</t>
    </r>
  </si>
  <si>
    <r>
      <rPr>
        <rFont val="Times New Roman"/>
        <b/>
        <color theme="1"/>
        <sz val="11.0"/>
      </rPr>
      <t xml:space="preserve">غير متوفرة </t>
    </r>
  </si>
  <si>
    <r>
      <rPr>
        <rFont val="Times New Roman"/>
        <b/>
        <color theme="1"/>
        <sz val="11.0"/>
      </rPr>
      <t xml:space="preserve">غير مكتملة </t>
    </r>
  </si>
  <si>
    <r>
      <rPr>
        <rFont val="Times New Roman"/>
        <b/>
        <color theme="1"/>
        <sz val="11.0"/>
      </rPr>
      <t xml:space="preserve">مكتملة </t>
    </r>
  </si>
  <si>
    <r>
      <rPr>
        <rFont val="Times New Roman"/>
        <b/>
        <color rgb="FF000000"/>
        <sz val="11.0"/>
      </rPr>
      <t xml:space="preserve"> أدوات متابعة الرضاعة الطبيعية</t>
    </r>
  </si>
  <si>
    <r>
      <rPr>
        <rFont val="Times New Roman"/>
        <b/>
        <color theme="1"/>
        <sz val="11.0"/>
      </rPr>
      <t>غير متوفرة</t>
    </r>
  </si>
  <si>
    <r>
      <rPr>
        <rFont val="Times New Roman"/>
        <b/>
        <color theme="1"/>
        <sz val="11.0"/>
      </rPr>
      <t>متوفرة</t>
    </r>
  </si>
  <si>
    <r>
      <rPr>
        <rFont val="Times New Roman"/>
        <b/>
        <color rgb="FF000000"/>
        <sz val="11.0"/>
      </rPr>
      <t xml:space="preserve">تسجيل الحالات المحولة ومتابعتها </t>
    </r>
  </si>
  <si>
    <r>
      <rPr>
        <rFont val="Times New Roman"/>
        <b/>
        <color theme="1"/>
        <sz val="11.0"/>
      </rPr>
      <t xml:space="preserve">لا يتم </t>
    </r>
  </si>
  <si>
    <r>
      <rPr>
        <rFont val="Times New Roman"/>
        <b/>
        <color theme="1"/>
        <sz val="11.0"/>
      </rPr>
      <t xml:space="preserve">يتم التسجيل فقط </t>
    </r>
  </si>
  <si>
    <r>
      <rPr>
        <rFont val="Times New Roman"/>
        <b/>
        <color theme="1"/>
        <sz val="11.0"/>
      </rPr>
      <t xml:space="preserve">يتم التسجيل والمتابعة </t>
    </r>
  </si>
  <si>
    <r>
      <rPr>
        <rFont val="Times New Roman"/>
        <b/>
        <color rgb="FF000000"/>
        <sz val="11.0"/>
      </rPr>
      <t xml:space="preserve">توافر وسائل تثقيفية وتعليمية للرسائل الصحية </t>
    </r>
  </si>
  <si>
    <r>
      <rPr>
        <rFont val="Times New Roman"/>
        <b/>
        <color theme="1"/>
        <sz val="11.0"/>
      </rPr>
      <t xml:space="preserve">غير متوفرة </t>
    </r>
  </si>
  <si>
    <r>
      <rPr>
        <rFont val="Times New Roman"/>
        <b/>
        <color theme="1"/>
        <sz val="11.0"/>
      </rPr>
      <t xml:space="preserve">بها </t>
    </r>
  </si>
  <si>
    <r>
      <rPr>
        <rFont val="Times New Roman"/>
        <b/>
        <color theme="1"/>
        <sz val="11.0"/>
      </rPr>
      <t xml:space="preserve">متوفرة </t>
    </r>
  </si>
  <si>
    <r>
      <rPr>
        <rFont val="Times New Roman"/>
        <b/>
        <color theme="1"/>
        <sz val="16.0"/>
      </rPr>
      <t xml:space="preserve">                        جلسات المشورة تقدم بكفاءة:</t>
    </r>
  </si>
  <si>
    <r>
      <rPr>
        <rFont val="Times New Roman"/>
        <b/>
        <color rgb="FF000000"/>
        <sz val="11.0"/>
      </rPr>
      <t>مشورة ما قبل الزواج</t>
    </r>
  </si>
  <si>
    <r>
      <rPr>
        <rFont val="Times New Roman"/>
        <b/>
        <color theme="1"/>
        <sz val="12.0"/>
      </rPr>
      <t xml:space="preserve">لا تتم </t>
    </r>
  </si>
  <si>
    <r>
      <rPr>
        <rFont val="Times New Roman"/>
        <b/>
        <color theme="1"/>
        <sz val="12.0"/>
      </rPr>
      <t xml:space="preserve">تتم  بشكل غيرمناسب </t>
    </r>
  </si>
  <si>
    <r>
      <rPr>
        <rFont val="Times New Roman"/>
        <b/>
        <color theme="1"/>
        <sz val="12.0"/>
      </rPr>
      <t>تتم بكفاءة</t>
    </r>
  </si>
  <si>
    <r>
      <rPr>
        <rFont val="Times New Roman"/>
        <b/>
        <color rgb="FF000000"/>
        <sz val="11.0"/>
      </rPr>
      <t>الأطفال</t>
    </r>
  </si>
  <si>
    <r>
      <rPr>
        <rFont val="Times New Roman"/>
        <b/>
        <color theme="1"/>
        <sz val="12.0"/>
      </rPr>
      <t xml:space="preserve">لا تتم </t>
    </r>
  </si>
  <si>
    <r>
      <rPr>
        <rFont val="Times New Roman"/>
        <b/>
        <color theme="1"/>
        <sz val="12.0"/>
      </rPr>
      <t xml:space="preserve">تتم  بشكل غيرمناسب </t>
    </r>
  </si>
  <si>
    <r>
      <rPr>
        <rFont val="Times New Roman"/>
        <b/>
        <color theme="1"/>
        <sz val="12.0"/>
      </rPr>
      <t>تتم بكفاءة</t>
    </r>
  </si>
  <si>
    <r>
      <rPr>
        <rFont val="Times New Roman"/>
        <b/>
        <color rgb="FF000000"/>
        <sz val="11.0"/>
      </rPr>
      <t>الحوامل</t>
    </r>
  </si>
  <si>
    <r>
      <rPr>
        <rFont val="Times New Roman"/>
        <b/>
        <color theme="1"/>
        <sz val="12.0"/>
      </rPr>
      <t xml:space="preserve">لا تتم </t>
    </r>
  </si>
  <si>
    <r>
      <rPr>
        <rFont val="Times New Roman"/>
        <b/>
        <color theme="1"/>
        <sz val="12.0"/>
      </rPr>
      <t xml:space="preserve">تتم  بشكل غيرمناسب </t>
    </r>
  </si>
  <si>
    <r>
      <rPr>
        <rFont val="Times New Roman"/>
        <b/>
        <color theme="1"/>
        <sz val="12.0"/>
      </rPr>
      <t>تتم بكفاءة</t>
    </r>
  </si>
  <si>
    <t>تقييم مهارات مقدم المشورة:</t>
  </si>
  <si>
    <r>
      <rPr>
        <rFont val="Times New Roman"/>
        <b/>
        <color theme="1"/>
        <sz val="12.0"/>
      </rPr>
      <t>م</t>
    </r>
  </si>
  <si>
    <r>
      <rPr>
        <rFont val="Times New Roman"/>
        <b/>
        <color theme="1"/>
        <sz val="12.0"/>
      </rPr>
      <t>الممارسة</t>
    </r>
  </si>
  <si>
    <r>
      <rPr>
        <rFont val="Times New Roman"/>
        <b/>
        <color theme="1"/>
        <sz val="12.0"/>
      </rPr>
      <t xml:space="preserve">إستخدام مهارة الترحيب وبناء علاقات جيدة مع السيدات أثناء جلسة المشورة 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</si>
  <si>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</si>
  <si>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2.0"/>
      </rPr>
      <t>إستخدام مهارة الإنصات بشكل فعال أثناء جلسة المشورة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</si>
  <si>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</si>
  <si>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2.0"/>
      </rPr>
      <t>إستخدام مهارة المعلومات ذات الصلة بالجلسة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</si>
  <si>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</si>
  <si>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2.0"/>
      </rPr>
      <t>إستخدام مهارة الإقناع بشكل فعال أثناء الجلسة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</si>
  <si>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</si>
  <si>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2.0"/>
      </rPr>
      <t>إستخدام المهارات اللازمة لفهم وحل المشكلات وإتخاذ القرارات أثناء الجلسة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</si>
  <si>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</si>
  <si>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2.0"/>
      </rPr>
      <t xml:space="preserve">إستخدام مهارة طرح الأسئلة بشكل جيد أثناء الجلسة 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</si>
  <si>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</si>
  <si>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2.0"/>
      </rPr>
      <t xml:space="preserve">قامت مقدمة المشورة بإدارة جلسة المشورة بشكل فعال 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</si>
  <si>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</si>
  <si>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theme="1"/>
        <sz val="14.0"/>
      </rPr>
      <t>قائمة أدوات مشورة الرضاعة الطبيعية</t>
    </r>
  </si>
  <si>
    <r>
      <rPr>
        <rFont val="Times New Roman"/>
        <b/>
        <color theme="1"/>
        <sz val="12.0"/>
      </rPr>
      <t>م</t>
    </r>
  </si>
  <si>
    <r>
      <rPr>
        <rFont val="Times New Roman"/>
        <b/>
        <color theme="1"/>
        <sz val="12.0"/>
      </rPr>
      <t>الممارسة</t>
    </r>
  </si>
  <si>
    <r>
      <rPr>
        <rFont val="Times New Roman"/>
        <b/>
        <color rgb="FF000000"/>
        <sz val="11.0"/>
      </rPr>
      <t xml:space="preserve"> عروسة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</si>
  <si>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</si>
  <si>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rgb="FF000000"/>
        <sz val="11.0"/>
      </rPr>
      <t xml:space="preserve"> نموذج ثدي بالقماش +/ جوانتي للفم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</si>
  <si>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</si>
  <si>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rgb="FF000000"/>
        <sz val="11.0"/>
      </rPr>
      <t xml:space="preserve"> قماش ربطة رعاية الأم الكنغر ( الحضن الدافئ)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</si>
  <si>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</si>
  <si>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rgb="FF000000"/>
        <sz val="11.0"/>
      </rPr>
      <t xml:space="preserve"> كوب صغير ( للتدريب على بدائل الرضاعة من الثدي)</t>
    </r>
  </si>
  <si>
    <r>
      <rPr>
        <rFont val="Times New Roman"/>
        <b/>
        <color theme="1"/>
        <sz val="12.0"/>
      </rPr>
      <t> </t>
    </r>
  </si>
  <si>
    <r>
      <rPr>
        <rFont val="Times New Roman"/>
        <b/>
        <color rgb="FF000000"/>
        <sz val="11.0"/>
      </rPr>
      <t xml:space="preserve"> إستمارة تقييم الرضعة</t>
    </r>
  </si>
  <si>
    <r>
      <rPr>
        <rFont val="Times New Roman"/>
        <b/>
        <color theme="1"/>
        <sz val="12.0"/>
      </rPr>
      <t> </t>
    </r>
  </si>
  <si>
    <t>أدوات تقييم التطور</t>
  </si>
  <si>
    <r>
      <rPr>
        <rFont val="Times New Roman"/>
        <b/>
        <color theme="1"/>
        <sz val="12.0"/>
      </rPr>
      <t>م</t>
    </r>
  </si>
  <si>
    <r>
      <rPr>
        <rFont val="Times New Roman"/>
        <b/>
        <color theme="1"/>
        <sz val="12.0"/>
      </rPr>
      <t>الأدوات</t>
    </r>
  </si>
  <si>
    <r>
      <rPr>
        <rFont val="Times New Roman"/>
        <b/>
        <color rgb="FF000000"/>
        <sz val="7.0"/>
      </rPr>
      <t xml:space="preserve">  </t>
    </r>
    <r>
      <rPr>
        <rFont val="Times New Roman"/>
        <b/>
        <color rgb="FF000000"/>
        <sz val="12.0"/>
      </rPr>
      <t>ألوان شمعية</t>
    </r>
  </si>
  <si>
    <r>
      <rPr>
        <rFont val="Times New Roman"/>
        <b/>
        <color rgb="FF000000"/>
        <sz val="12.0"/>
      </rPr>
      <t xml:space="preserve">ورق أبيض </t>
    </r>
  </si>
  <si>
    <r>
      <rPr>
        <rFont val="Times New Roman"/>
        <b/>
        <color rgb="FF000000"/>
        <sz val="7.0"/>
      </rPr>
      <t xml:space="preserve">    </t>
    </r>
    <r>
      <rPr>
        <rFont val="Times New Roman"/>
        <b/>
        <color rgb="FF000000"/>
        <sz val="12.0"/>
      </rPr>
      <t xml:space="preserve"> لوح بأشكال معتدلة متحركة مربع - مستطيل – مثلث- دائرة </t>
    </r>
  </si>
  <si>
    <r>
      <rPr>
        <rFont val="Times New Roman"/>
        <b/>
        <color rgb="FF000000"/>
        <sz val="7.0"/>
      </rPr>
      <t xml:space="preserve">      </t>
    </r>
    <r>
      <rPr>
        <rFont val="Times New Roman"/>
        <b/>
        <color rgb="FF000000"/>
        <sz val="12.0"/>
      </rPr>
      <t>لوح أشكال صور غير معتدلة ومتحركة (تفاحة – حيوانات ......</t>
    </r>
    <r>
      <rPr>
        <rFont val="Times New Roman"/>
        <b/>
        <color rgb="FF000000"/>
        <sz val="10.0"/>
      </rPr>
      <t>)</t>
    </r>
  </si>
  <si>
    <r>
      <rPr>
        <rFont val="Times New Roman"/>
        <b/>
        <color rgb="FF000000"/>
        <sz val="7.0"/>
      </rPr>
      <t xml:space="preserve">    </t>
    </r>
    <r>
      <rPr>
        <rFont val="Times New Roman"/>
        <b/>
        <color rgb="FF000000"/>
        <sz val="12.0"/>
      </rPr>
      <t xml:space="preserve">كتاب صور صفحاته سميكة (لإختبار مهارة اليد والقدرة علي قلب الصفحات) </t>
    </r>
  </si>
  <si>
    <r>
      <rPr>
        <rFont val="Times New Roman"/>
        <b/>
        <color rgb="FF000000"/>
        <sz val="7.0"/>
      </rPr>
      <t xml:space="preserve">      </t>
    </r>
    <r>
      <rPr>
        <rFont val="Times New Roman"/>
        <b/>
        <color rgb="FF000000"/>
        <sz val="12.0"/>
      </rPr>
      <t>كتاب قصص ملونة أطفال (لإختبار تركيب الجمل)</t>
    </r>
  </si>
  <si>
    <r>
      <rPr>
        <rFont val="Times New Roman"/>
        <b/>
        <color rgb="FF000000"/>
        <sz val="7.0"/>
      </rPr>
      <t xml:space="preserve">    </t>
    </r>
    <r>
      <rPr>
        <rFont val="Times New Roman"/>
        <b/>
        <color rgb="FF000000"/>
        <sz val="12.0"/>
      </rPr>
      <t>حبل وخرز "بلاستيك" بفتحات كبيرة وفتحات صغيرة (10 – 15)</t>
    </r>
  </si>
  <si>
    <r>
      <rPr>
        <rFont val="Times New Roman"/>
        <b/>
        <color rgb="FF000000"/>
        <sz val="12.0"/>
      </rPr>
      <t xml:space="preserve">مقص آمن من لعب الأطفال </t>
    </r>
  </si>
  <si>
    <r>
      <rPr>
        <rFont val="Times New Roman"/>
        <b/>
        <color rgb="FF000000"/>
        <sz val="12.0"/>
      </rPr>
      <t xml:space="preserve">كوره إسفنجية مرنة صغيرة أكبر من حجم الفم </t>
    </r>
  </si>
  <si>
    <r>
      <rPr>
        <rFont val="Times New Roman"/>
        <b/>
        <color rgb="FF000000"/>
        <sz val="7.0"/>
      </rPr>
      <t xml:space="preserve"> </t>
    </r>
    <r>
      <rPr>
        <rFont val="Times New Roman"/>
        <b/>
        <color rgb="FF000000"/>
        <sz val="12.0"/>
      </rPr>
      <t xml:space="preserve"> ملاعق وشوك وكوب وطبق وفناجين شاي لعبة (أدوات طعام بلاستيك)</t>
    </r>
  </si>
  <si>
    <r>
      <rPr>
        <rFont val="Times New Roman"/>
        <b/>
        <color rgb="FF000000"/>
        <sz val="7.0"/>
      </rPr>
      <t xml:space="preserve"> </t>
    </r>
    <r>
      <rPr>
        <rFont val="Times New Roman"/>
        <b/>
        <color rgb="FF000000"/>
        <sz val="12.0"/>
      </rPr>
      <t xml:space="preserve"> حيوانات لعبة </t>
    </r>
  </si>
  <si>
    <r>
      <rPr>
        <rFont val="Times New Roman"/>
        <b/>
        <color rgb="FF000000"/>
        <sz val="7.0"/>
      </rPr>
      <t xml:space="preserve">  </t>
    </r>
    <r>
      <rPr>
        <rFont val="Times New Roman"/>
        <b/>
        <color rgb="FF000000"/>
        <sz val="12.0"/>
      </rPr>
      <t xml:space="preserve">  عربيات لعبة</t>
    </r>
  </si>
  <si>
    <r>
      <rPr>
        <rFont val="Times New Roman"/>
        <b/>
        <color rgb="FF000000"/>
        <sz val="7.0"/>
      </rPr>
      <t xml:space="preserve">  </t>
    </r>
    <r>
      <rPr>
        <rFont val="Times New Roman"/>
        <b/>
        <color rgb="FF000000"/>
        <sz val="12.0"/>
      </rPr>
      <t xml:space="preserve">عروسة – فرشة شعر- مراية </t>
    </r>
  </si>
  <si>
    <r>
      <rPr>
        <rFont val="Times New Roman"/>
        <b/>
        <color rgb="FF000000"/>
        <sz val="7.0"/>
      </rPr>
      <t xml:space="preserve">  </t>
    </r>
    <r>
      <rPr>
        <rFont val="Times New Roman"/>
        <b/>
        <color rgb="FF000000"/>
        <sz val="12.0"/>
      </rPr>
      <t xml:space="preserve"> عدد 12 مكعب خشبي أملس مقاس بوصة (2.5 سم x 2.5 سم) </t>
    </r>
  </si>
  <si>
    <t>لا يوجد.</t>
  </si>
  <si>
    <r>
      <rPr>
        <rFont val="Times New Roman"/>
        <b/>
        <color rgb="FF000000"/>
        <sz val="7.0"/>
      </rPr>
      <t xml:space="preserve"> </t>
    </r>
    <r>
      <rPr>
        <rFont val="Times New Roman"/>
        <b/>
        <color rgb="FF000000"/>
        <sz val="12.0"/>
      </rPr>
      <t xml:space="preserve">كورة بلاستيك حجمها متوسط </t>
    </r>
  </si>
  <si>
    <t xml:space="preserve">إجمالى تقييم غرفة المشورة </t>
  </si>
  <si>
    <t>المبادرات</t>
  </si>
  <si>
    <t>م.</t>
  </si>
  <si>
    <t>مبادرة صحة المراة المصرية</t>
  </si>
  <si>
    <t>لافتات/ ملصقات تشير بوجود المبادرة داخل الوحدة</t>
  </si>
  <si>
    <t>يوجد بحالة سيئة</t>
  </si>
  <si>
    <t>يوجد بحالة ممتازة</t>
  </si>
  <si>
    <t>الإلتزام بزي المبادرات الرسمي</t>
  </si>
  <si>
    <t>الجميع غير ملتزم</t>
  </si>
  <si>
    <t>البعض ملتزم</t>
  </si>
  <si>
    <t>الجميع ملتزم</t>
  </si>
  <si>
    <t>أماكن الإنتظار</t>
  </si>
  <si>
    <t>غير موجود</t>
  </si>
  <si>
    <t>موجود و غيرصالحة</t>
  </si>
  <si>
    <t>موجود وصالحة</t>
  </si>
  <si>
    <t xml:space="preserve">غير موجود </t>
  </si>
  <si>
    <t>الرائدة/المثقفة الصحية تقوم بالتوعية داخل الوحدة مدتها</t>
  </si>
  <si>
    <t>&lt; 15</t>
  </si>
  <si>
    <t>15-20دقيقة</t>
  </si>
  <si>
    <t>غير موجودة</t>
  </si>
  <si>
    <t>الرائدة/المثقفة الصحية تقوم بتوعية داخل الوحدة لعدد مواطنين</t>
  </si>
  <si>
    <t>&lt; 10</t>
  </si>
  <si>
    <t>10-15مواطن</t>
  </si>
  <si>
    <t>مقارنة عدد حالات التسجيل على السجلات بعدد جلسات التوعية</t>
  </si>
  <si>
    <t>موجود لايدري</t>
  </si>
  <si>
    <t>موجود على دراية</t>
  </si>
  <si>
    <t>عدد السيدات في جلسة التوعية داخل الوحدة</t>
  </si>
  <si>
    <t>لا يتم التوعية</t>
  </si>
  <si>
    <t>10-15سيدة</t>
  </si>
  <si>
    <t>كروت المواطنين</t>
  </si>
  <si>
    <t>موجود و لا تسلم للمواطن</t>
  </si>
  <si>
    <t>موجود و تسلم للمواطن</t>
  </si>
  <si>
    <t>تسجيل بيانات كروت المواطنين</t>
  </si>
  <si>
    <t>موجودة غير كاملة/واضحة</t>
  </si>
  <si>
    <t>موجودة و كاملة / واضحة</t>
  </si>
  <si>
    <t>تاريخ طباعة الكارت</t>
  </si>
  <si>
    <t>السجلات الورقية مطابقة للمنظومة الإلكترونية</t>
  </si>
  <si>
    <t>لا توجد سجلات</t>
  </si>
  <si>
    <t>سجلات غير مطابقة</t>
  </si>
  <si>
    <t>سجلات مطابقة</t>
  </si>
  <si>
    <t>غرفة فحص ذات خصوصية (تنظيم أسرة)</t>
  </si>
  <si>
    <t xml:space="preserve">لا يوجد </t>
  </si>
  <si>
    <t>موجودة عامة</t>
  </si>
  <si>
    <t>موجودة و بها خصوصية</t>
  </si>
  <si>
    <t>دفتر الإحالة للمستشفيات والتغذية الراجعة</t>
  </si>
  <si>
    <t>موجود بدون تسجيل تغذية</t>
  </si>
  <si>
    <t>موجودة و يسجل بها التغذية</t>
  </si>
  <si>
    <t>معايرة جهاز ميزان الأطوال</t>
  </si>
  <si>
    <t>موجود بدون معايرة</t>
  </si>
  <si>
    <t>موجود و مطابق</t>
  </si>
  <si>
    <t xml:space="preserve">                        الإجمالى:</t>
  </si>
  <si>
    <t>مبادرة الإكتشاف المبكر لضعف وفقدان السمع</t>
  </si>
  <si>
    <t>بوسترات- بانرات- إرشادات</t>
  </si>
  <si>
    <t>غرفة السمعيات بعيدة عن الضوضاء ومجهزة</t>
  </si>
  <si>
    <t>ضعيف</t>
  </si>
  <si>
    <t>متوسط</t>
  </si>
  <si>
    <t>جيد</t>
  </si>
  <si>
    <t>فحص الطفل قبل فحص الغده (الطفل هاديء)</t>
  </si>
  <si>
    <t>لا يتم</t>
  </si>
  <si>
    <t>يتم</t>
  </si>
  <si>
    <t>نظافة البروب من الشمع</t>
  </si>
  <si>
    <t xml:space="preserve">غير نظيف </t>
  </si>
  <si>
    <t>نظيف</t>
  </si>
  <si>
    <t>عدد2تمريض مدرب على المبادرة</t>
  </si>
  <si>
    <t>يوجد 1 تمريض</t>
  </si>
  <si>
    <t>يوجد 2 تمريض</t>
  </si>
  <si>
    <t>غرفة السمعيات متاحة طول أيام الأسبوع</t>
  </si>
  <si>
    <t>غير متاح</t>
  </si>
  <si>
    <t>متاح بعض الأيام</t>
  </si>
  <si>
    <t>متاح بالكامل</t>
  </si>
  <si>
    <t>طريقة معايرة البروب من خلال الأذن الصناعية</t>
  </si>
  <si>
    <t>لا يطبق</t>
  </si>
  <si>
    <t>يطبق مرة كل شهر</t>
  </si>
  <si>
    <t>التغذية الراجعة للمتغيبين عن الفحص الثاني والإتصال بالوالدين من الممرضة المسؤولة</t>
  </si>
  <si>
    <t>موجودة ليس كامل</t>
  </si>
  <si>
    <t>موجودة و مطابق</t>
  </si>
  <si>
    <t>نسبة تطابق فحوصات الغدة مع السمعيات في كل جلسة</t>
  </si>
  <si>
    <t>موجود و ليس مطابق</t>
  </si>
  <si>
    <t>سرعة تبليغ الفريق الإشرافي بالأعطال</t>
  </si>
  <si>
    <t xml:space="preserve">لا يتم </t>
  </si>
  <si>
    <t xml:space="preserve">يتم مع تأخير </t>
  </si>
  <si>
    <t>يتم فوراً</t>
  </si>
  <si>
    <t>مبادرة فحوصات ماقبل الزواج</t>
  </si>
  <si>
    <t xml:space="preserve">أسهم إتجاهات للعيادة (لوحة أكريليك)             </t>
  </si>
  <si>
    <t>بعضها موجود</t>
  </si>
  <si>
    <t>موجود ككل</t>
  </si>
  <si>
    <t>لا توجد.</t>
  </si>
  <si>
    <t xml:space="preserve">الإلتزام بالزي الرسمى للمبادرات </t>
  </si>
  <si>
    <t>الطابعة الخاصة بالمبادرة</t>
  </si>
  <si>
    <t xml:space="preserve">موجود </t>
  </si>
  <si>
    <t xml:space="preserve">غرفة المشورة </t>
  </si>
  <si>
    <t xml:space="preserve">موجود بدون تسجيل </t>
  </si>
  <si>
    <t>موجودة و مسجل بها التردد</t>
  </si>
  <si>
    <t>تسليم كارت المبادرة للمواطن</t>
  </si>
  <si>
    <t>موجود و غير مكتمل</t>
  </si>
  <si>
    <t>موجود و مكتمل</t>
  </si>
  <si>
    <t xml:space="preserve">السجل الخاص بغرفة المشورة </t>
  </si>
  <si>
    <t xml:space="preserve">تسليم الشهادات للشخص نفسه فقط او بتوكيل (تفويض)
(لا يطبق = 0) (يطبق = 2) </t>
  </si>
  <si>
    <t>يطبق</t>
  </si>
  <si>
    <t>عدد الشهادات المهدرة</t>
  </si>
  <si>
    <t>&gt; 5%</t>
  </si>
  <si>
    <t>5%</t>
  </si>
  <si>
    <t>2%</t>
  </si>
  <si>
    <t>مطابقة التسجيل على المنظومة بالسجلات الورقية</t>
  </si>
  <si>
    <t>مطابقة نتائج الأجهزة التشخيصية بالسجلات</t>
  </si>
  <si>
    <t xml:space="preserve">تسليم الكتيب إلى المواطنين والتوعية الصحية </t>
  </si>
  <si>
    <t>غير مطبق</t>
  </si>
  <si>
    <t>مطبق</t>
  </si>
  <si>
    <t>مطابقة عدد الشهادات المطبوعة بالمركز و ما تم توريده إلى الصندوق</t>
  </si>
  <si>
    <t>موجود و غير مطابق</t>
  </si>
  <si>
    <t>سحب العينة نقطة واحدة مشبعة على الفلتر بجبر (التمريض مدرب)</t>
  </si>
  <si>
    <t>غلق الخزينة للتوريد فى وقت غير الذروة</t>
  </si>
  <si>
    <t>قياس الضغط والسكر والوزن لجميع المنتفعين (معايرة الأجهزة والميزان الأطوال)</t>
  </si>
  <si>
    <t xml:space="preserve">غير مطبق </t>
  </si>
  <si>
    <t>يطبق مع البعض</t>
  </si>
  <si>
    <t>مطبق على الجميع</t>
  </si>
  <si>
    <t>خطة نقل العينات يوميا من المركز وطريقة نقلها إلى المديرية (البريد)</t>
  </si>
  <si>
    <t xml:space="preserve">دفتر الإحالة للعيادات والتغذية الراجعة </t>
  </si>
  <si>
    <t>مبادرة صحة الأم و الجنين</t>
  </si>
  <si>
    <t>أسهم إسترشادية ولافتات تشير إلى مكان فحص مبادرة األم
والجنين بالوحدة</t>
  </si>
  <si>
    <t>السجلات الورقية مطابقة للمنظومة</t>
  </si>
  <si>
    <t xml:space="preserve">لا توجد سجلات </t>
  </si>
  <si>
    <t xml:space="preserve">سجلات غير مطابقة </t>
  </si>
  <si>
    <t>تمتع السيدة بالخصوصية اللازمة أثناء الفحص وأثناء
تسلم نتائج ذلك الفحص</t>
  </si>
  <si>
    <t>يطبق بعضها</t>
  </si>
  <si>
    <t>مطبق بالكامل</t>
  </si>
  <si>
    <t>تتم إحالة الحالات المتفاعل لكل من (فيروس ب– فيروس
نقص المناعة البشري) بطريقة صحيحة(التغذية الراجعة)</t>
  </si>
  <si>
    <t>التغذية الراجعة عن الحالات المحولة داخلي للسكر
التراكمي بعد قياس السكر العشوائي</t>
  </si>
  <si>
    <t>جلسات التثقيف والعلاج لمرضى السمنة من الحوامل بناء
على نتيجة الوزن والطول</t>
  </si>
  <si>
    <t xml:space="preserve">يطبق جزئيا </t>
  </si>
  <si>
    <t>يطبق بالكامل</t>
  </si>
  <si>
    <t>جدول للتوعية من خلال الندوات الثقافية والزيارات
المنزلية (الرائدة الريفية)</t>
  </si>
  <si>
    <t>مطابقة سجلات متابعة الحوامل الجدد بالرعاية الأساسية
مع سجلات المبادرة</t>
  </si>
  <si>
    <t>غير مطابق</t>
  </si>
  <si>
    <t>مطابق</t>
  </si>
  <si>
    <t>مبادرة الأمراض المزمنة</t>
  </si>
  <si>
    <t>أسهم إتجاهات للعيادة (لافتات/ ملصقات تشير بوجود المبادرة داخل الوحدة)</t>
  </si>
  <si>
    <t>توافر الأجهزة التشخيصية بالوحدة</t>
  </si>
  <si>
    <t>موجود بحالة سيئة</t>
  </si>
  <si>
    <t>مقارنة نتائج الأجهزة التشخيصية بالسجلات</t>
  </si>
  <si>
    <t>إدخال الحالات على المنظومة (الإنترنت يعمل)</t>
  </si>
  <si>
    <t>موجود</t>
  </si>
  <si>
    <t>سجل الإحالة الداخلية والخارجية</t>
  </si>
  <si>
    <t>مطابقة سجل الإحالة الداخلي مع التذاكر بالصيدلية وملفات الأسرة</t>
  </si>
  <si>
    <t>حفظ شرائط الفحص في ظروف تخزين مناسبة (2-30)</t>
  </si>
  <si>
    <t>السجلات الورقية مطابقة للمنظومة(الإدخال)</t>
  </si>
  <si>
    <t>وجود خطاب مطبوع بترتيب تعليمات وإجراءات وتشغيل المبادرة</t>
  </si>
  <si>
    <t>مرور الفريق الإشرافي من المنطقة–المديرية (دفتر الإشراف والزيارات)</t>
  </si>
  <si>
    <t>تحويل حالات النتائج الغير طبيعية إلى طبيب الوحدة
لتحديد النتائج إحالة أم علاج</t>
  </si>
  <si>
    <t xml:space="preserve">يطبق مع البعض </t>
  </si>
  <si>
    <t>جدول للتوعية من خلال الندوات الثقافية والزيارات المنزلية (الرائدة الريفية)</t>
  </si>
  <si>
    <t>مبادرة كبار الســن</t>
  </si>
  <si>
    <t>ميزان أطوال</t>
  </si>
  <si>
    <t xml:space="preserve"> موجود</t>
  </si>
  <si>
    <t>كارت المبادرة</t>
  </si>
  <si>
    <t>سجلات المترددين</t>
  </si>
  <si>
    <t>وجود بكر طباعة الشارت للـ ECG</t>
  </si>
  <si>
    <t>قراءات الرمد يتم تسجيلها والتحويل حسب النتيجة</t>
  </si>
  <si>
    <t>بروب السونار الباطني</t>
  </si>
  <si>
    <t>ربط المترددين على كبار السن بالأورام السرطانية</t>
  </si>
  <si>
    <t>ربط المترددين على كبار السن بالأمراض المزمنة</t>
  </si>
  <si>
    <t>الإستبيان النفسي- التغذوي</t>
  </si>
  <si>
    <t>ربط المترددين على كبار السن بملفات الأسرة (اذا كانت تطوير)</t>
  </si>
  <si>
    <t xml:space="preserve">                        الإجمالى: </t>
  </si>
  <si>
    <t>مبادرة الأورام السرطانية</t>
  </si>
  <si>
    <t>مرتجعات من شركة الشحن لعينات الFIT</t>
  </si>
  <si>
    <t>دفتر تسليم وتسلم المواطنين أنابيب الFIT</t>
  </si>
  <si>
    <t>التغذية الراجعة من تحويل المواطنين للحالات المحولة</t>
  </si>
  <si>
    <t>ربط المبادرة بمبادرة الأمراض المزمنة/كبار السن</t>
  </si>
  <si>
    <t xml:space="preserve">يطبق </t>
  </si>
  <si>
    <t>التابلت الخاص بالمبادرة</t>
  </si>
  <si>
    <t>ادخال الحالات على المنظومة (الإنترنت يعمل)</t>
  </si>
  <si>
    <t>تسليم الكارت لجميع المنتفعين</t>
  </si>
  <si>
    <t xml:space="preserve">                        الإجمالى:         / 8</t>
  </si>
  <si>
    <t>مبادرة الألف يوم الذهبية</t>
  </si>
  <si>
    <t>تتوافر لوحات وأسهم ارشادية موضوعة بأماكن توضح مكان
غرفة المشورة</t>
  </si>
  <si>
    <t>دورات المياة نظيفة</t>
  </si>
  <si>
    <t>ميزان أطفال رضع–مقياس اطوال أطفال اقل من سنتين</t>
  </si>
  <si>
    <t>مجموعة أدوات تقييم النمو والتطور</t>
  </si>
  <si>
    <t>التابلت</t>
  </si>
  <si>
    <t>وقت المشورة للمنتفع</t>
  </si>
  <si>
    <t>5 دقائق</t>
  </si>
  <si>
    <t>15 – 30 دقيقة</t>
  </si>
  <si>
    <t>سجل موحد لتسجيل التردد</t>
  </si>
  <si>
    <t>موجود و غيركامل / واضح</t>
  </si>
  <si>
    <t>موجود وكامل / واضح</t>
  </si>
  <si>
    <t>مواد تثقيفية خاصة بتنظيم الأسرة</t>
  </si>
  <si>
    <t>مواد تثقيفية خاصة بالرضاعة الطبيعية</t>
  </si>
  <si>
    <t>مواد تثقيفية خاصة بالتغذية السليمة</t>
  </si>
  <si>
    <t>مواد تثقيفية خاصة بتمارين الحمل والولادة الطبيعية</t>
  </si>
  <si>
    <t>مواد تثقيفية خاصة بمراحل تطور نمو الطفل</t>
  </si>
  <si>
    <t xml:space="preserve">                        الإجمالى:         / 28</t>
  </si>
  <si>
    <t>الالبان</t>
  </si>
  <si>
    <r>
      <rPr>
        <rFont val="Times New Roman"/>
        <b/>
        <color theme="1"/>
        <sz val="12.0"/>
      </rPr>
      <t>م</t>
    </r>
  </si>
  <si>
    <t>صرف الألبان</t>
  </si>
  <si>
    <r>
      <rPr>
        <rFont val="Times New Roman"/>
        <b/>
        <color theme="1"/>
        <sz val="12.0"/>
      </rPr>
      <t>يتم  تحديث تسجيل رصيد الألبان بمنظومة الألبان الإلكترونية يومياً حسب المرحلة ( تحت سن 6 شهور / أكثر من 6 شهور)</t>
    </r>
  </si>
  <si>
    <r>
      <rPr>
        <rFont val="Times New Roman"/>
        <b/>
        <color theme="1"/>
        <sz val="12.0"/>
      </rPr>
      <t xml:space="preserve">تطابق رصيد المنظومة  مع سجل المنصرف الشهرى ( دفتر 44) </t>
    </r>
  </si>
  <si>
    <r>
      <rPr>
        <rFont val="Times New Roman"/>
        <b/>
        <color theme="1"/>
        <sz val="12.0"/>
      </rPr>
      <t>الملصق التعريفى للألبان على الأرفف محدث و مطابق لرصيد المنظومة</t>
    </r>
  </si>
  <si>
    <r>
      <rPr>
        <rFont val="Times New Roman"/>
        <b/>
        <color theme="1"/>
        <sz val="12.0"/>
      </rPr>
      <t xml:space="preserve">يتم حضور الطفل مع الأب أو الأم أو المفوض المسجل باللجنة وعلى الكارت المميكن </t>
    </r>
  </si>
  <si>
    <r>
      <rPr>
        <rFont val="Times New Roman"/>
        <b/>
        <color theme="1"/>
        <sz val="12.0"/>
      </rPr>
      <t>تطابق تاريخ الإيصال مع تاريخ يوم الصرف</t>
    </r>
  </si>
  <si>
    <r>
      <rPr>
        <rFont val="Times New Roman"/>
        <b/>
        <color theme="1"/>
        <sz val="12.0"/>
      </rPr>
      <t>تطابق  تذاكر الصرف مع إيصال الدفع</t>
    </r>
  </si>
  <si>
    <r>
      <rPr>
        <rFont val="Times New Roman"/>
        <b/>
        <color theme="1"/>
        <sz val="12.0"/>
      </rPr>
      <t xml:space="preserve">إدخال الصيدلي الصرف على المنظومة وصرف الكمية من الباتش الأقرب صلاحية. </t>
    </r>
  </si>
  <si>
    <r>
      <rPr>
        <rFont val="Times New Roman"/>
        <b/>
        <color theme="1"/>
        <sz val="12.0"/>
      </rPr>
      <t xml:space="preserve">التأكد من الإدخال على المنظومة جميع الصرفيات في نفس اليوم (عدد علب – ومرحلة) </t>
    </r>
  </si>
  <si>
    <r>
      <rPr>
        <rFont val="Times New Roman"/>
        <b/>
        <color theme="1"/>
        <sz val="12.0"/>
      </rPr>
      <t>لا يتم  تخزين كراتين الألبان  على الأرض وفي الطرقات</t>
    </r>
  </si>
  <si>
    <r>
      <rPr>
        <rFont val="Times New Roman"/>
        <b/>
        <color theme="1"/>
        <sz val="12.0"/>
      </rPr>
      <t xml:space="preserve">إتباع  إشتراطات التخزين الآمن لعبوات الألبان: يتم على الأقل: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التخزين على الأرفف أو قواعد مرتفعة عن الأرض.
</t>
    </r>
    <r>
      <rPr>
        <rFont val="Wingdings"/>
        <b/>
        <color theme="1"/>
        <sz val="12.0"/>
      </rPr>
      <t></t>
    </r>
    <r>
      <rPr>
        <rFont val="Times New Roman"/>
        <b/>
        <color theme="1"/>
        <sz val="12.0"/>
      </rPr>
      <t xml:space="preserve"> قياس درجة حرارة الغرفة و الرطوبة بالصيدلية / المخزن</t>
    </r>
  </si>
  <si>
    <r>
      <rPr>
        <rFont val="Times New Roman"/>
        <b/>
        <color theme="1"/>
        <sz val="12.0"/>
      </rPr>
      <t>يتم  صرف الألبان في أكياس  غير شفافة.</t>
    </r>
  </si>
  <si>
    <r>
      <rPr>
        <rFont val="Times New Roman"/>
        <b/>
        <color theme="1"/>
        <sz val="12.0"/>
      </rPr>
      <t>الحفاظ على سرية الرقم المميكن للطفل ( لا يتم تسجيله بأى سجل و صورة الكارت).</t>
    </r>
  </si>
  <si>
    <r>
      <rPr>
        <rFont val="Times New Roman"/>
        <b/>
        <color theme="1"/>
        <sz val="12.0"/>
      </rPr>
      <t>لا يتم وضع الألبان في مكان ظاهر للجمهور أو بجوار شباك الصرف</t>
    </r>
  </si>
  <si>
    <r>
      <rPr>
        <rFont val="Times New Roman"/>
        <b/>
        <color theme="1"/>
        <sz val="12.0"/>
      </rPr>
      <t>عدم تسجيل إسم المستخدم و كلمة السر على الجهاز.</t>
    </r>
  </si>
  <si>
    <t>يوجد تسجيل اسم المستخدم على الجهاز</t>
  </si>
  <si>
    <r>
      <rPr>
        <rFont val="Times New Roman"/>
        <b/>
        <color theme="1"/>
        <sz val="12.0"/>
      </rPr>
      <t>يتم  تحديث تسجيل رصيد الألبان بمنظومة الألبان الإلكترونية يومياً ( تحت سن 6 شهور / أكثر من 6 شهور)</t>
    </r>
  </si>
  <si>
    <t>الاجمالي</t>
  </si>
  <si>
    <t>المحافظة :                                                               تواريخ التقييم :</t>
  </si>
  <si>
    <t xml:space="preserve">إسم المركز / الوحدة :           ابن سهلان                                     إسم القائم بالتقييم : </t>
  </si>
  <si>
    <t xml:space="preserve">                                                                                 نتيجة التقييم : </t>
  </si>
  <si>
    <r>
      <rPr>
        <rFont val="Times New Roman"/>
        <b/>
        <color theme="1"/>
        <sz val="14.0"/>
      </rPr>
      <t>م</t>
    </r>
  </si>
  <si>
    <r>
      <rPr>
        <rFont val="Times New Roman"/>
        <b/>
        <color theme="1"/>
        <sz val="14.0"/>
      </rPr>
      <t>البــــند</t>
    </r>
  </si>
  <si>
    <r>
      <rPr>
        <rFont val="Times New Roman"/>
        <b/>
        <color theme="1"/>
        <sz val="14.0"/>
      </rPr>
      <t>النسبة المئوية</t>
    </r>
  </si>
  <si>
    <r>
      <rPr>
        <rFont val="Times New Roman"/>
        <b/>
        <color theme="1"/>
        <sz val="12.0"/>
      </rPr>
      <t>الإشتراطات العامة</t>
    </r>
  </si>
  <si>
    <r>
      <rPr>
        <rFont val="Times New Roman"/>
        <b/>
        <color theme="1"/>
        <sz val="12.0"/>
      </rPr>
      <t>تقييم و مراقبة أداء الخدمات الصحية المقدمة بالمنشأة</t>
    </r>
  </si>
  <si>
    <r>
      <rPr>
        <rFont val="Times New Roman"/>
        <b/>
        <color theme="1"/>
        <sz val="12.0"/>
      </rPr>
      <t>السلامة البيئية</t>
    </r>
  </si>
  <si>
    <r>
      <rPr>
        <rFont val="Times New Roman"/>
        <b/>
        <color theme="1"/>
        <sz val="12.0"/>
      </rPr>
      <t>اللجان</t>
    </r>
  </si>
  <si>
    <r>
      <rPr>
        <rFont val="Times New Roman"/>
        <b/>
        <color theme="1"/>
        <sz val="12.0"/>
      </rPr>
      <t>السياسات و الإجراءات / السجلات التمريضية</t>
    </r>
  </si>
  <si>
    <r>
      <rPr>
        <rFont val="Times New Roman"/>
        <b/>
        <color theme="1"/>
        <sz val="12.0"/>
      </rPr>
      <t xml:space="preserve">أدلة العمل / البروتوكولات </t>
    </r>
  </si>
  <si>
    <r>
      <rPr>
        <rFont val="Times New Roman"/>
        <b/>
        <color theme="1"/>
        <sz val="12.0"/>
      </rPr>
      <t>القوائم بالعيادات</t>
    </r>
  </si>
  <si>
    <r>
      <rPr>
        <rFont val="Times New Roman"/>
        <b/>
        <color theme="1"/>
        <sz val="12.0"/>
      </rPr>
      <t>التسجيل الطبى</t>
    </r>
  </si>
  <si>
    <r>
      <rPr>
        <rFont val="Times New Roman"/>
        <b/>
        <color theme="1"/>
        <sz val="12.0"/>
      </rPr>
      <t>الطوارئ</t>
    </r>
  </si>
  <si>
    <r>
      <rPr>
        <rFont val="Times New Roman"/>
        <b/>
        <color theme="1"/>
        <sz val="12.0"/>
      </rPr>
      <t>غرفة التطعيمات</t>
    </r>
  </si>
  <si>
    <r>
      <rPr>
        <rFont val="Times New Roman"/>
        <b/>
        <color theme="1"/>
        <sz val="12.0"/>
      </rPr>
      <t xml:space="preserve">عيادة طب الأسرة </t>
    </r>
  </si>
  <si>
    <r>
      <rPr>
        <rFont val="Times New Roman"/>
        <b/>
        <color theme="1"/>
        <sz val="12.0"/>
      </rPr>
      <t>عيادة IMCI</t>
    </r>
  </si>
  <si>
    <r>
      <rPr>
        <rFont val="Times New Roman"/>
        <b/>
        <color theme="1"/>
        <sz val="12.0"/>
      </rPr>
      <t xml:space="preserve">عيادة رعاية الأمومة ( الحوامل) </t>
    </r>
  </si>
  <si>
    <r>
      <rPr>
        <rFont val="Times New Roman"/>
        <b/>
        <color theme="1"/>
        <sz val="12.0"/>
      </rPr>
      <t>متابعة الأطفال</t>
    </r>
  </si>
  <si>
    <r>
      <rPr>
        <rFont val="Times New Roman"/>
        <b/>
        <color theme="1"/>
        <sz val="12.0"/>
      </rPr>
      <t>تنظيم الأسرة / النسا</t>
    </r>
  </si>
  <si>
    <r>
      <rPr>
        <rFont val="Times New Roman"/>
        <b/>
        <color theme="1"/>
        <sz val="12.0"/>
      </rPr>
      <t>عيادة الأسنان</t>
    </r>
  </si>
  <si>
    <r>
      <rPr>
        <rFont val="Times New Roman"/>
        <b/>
        <color theme="1"/>
        <sz val="12.0"/>
      </rPr>
      <t>ركن الإرواء</t>
    </r>
  </si>
  <si>
    <r>
      <rPr>
        <rFont val="Times New Roman"/>
        <b/>
        <color theme="1"/>
        <sz val="12.0"/>
      </rPr>
      <t>الصيدلية</t>
    </r>
  </si>
  <si>
    <r>
      <rPr>
        <rFont val="Times New Roman"/>
        <b/>
        <color theme="1"/>
        <sz val="12.0"/>
      </rPr>
      <t>المعمل</t>
    </r>
  </si>
  <si>
    <r>
      <rPr>
        <rFont val="Times New Roman"/>
        <b/>
        <color theme="1"/>
        <sz val="12.0"/>
      </rPr>
      <t>الأشعة</t>
    </r>
  </si>
  <si>
    <r>
      <rPr>
        <rFont val="Times New Roman"/>
        <b/>
        <color theme="1"/>
        <sz val="12.0"/>
      </rPr>
      <t>غرفة التثقيف الصحى</t>
    </r>
  </si>
  <si>
    <r>
      <rPr>
        <rFont val="Times New Roman"/>
        <b/>
        <color theme="1"/>
        <sz val="12.0"/>
      </rPr>
      <t>التعقيم</t>
    </r>
  </si>
  <si>
    <r>
      <rPr>
        <rFont val="Times New Roman"/>
        <b/>
        <color theme="1"/>
        <sz val="12.0"/>
      </rPr>
      <t>وحدة غسيل المفروشات</t>
    </r>
  </si>
  <si>
    <r>
      <rPr>
        <rFont val="Times New Roman"/>
        <b/>
        <color theme="1"/>
        <sz val="12.0"/>
      </rPr>
      <t xml:space="preserve">سكن الفريق الطبى </t>
    </r>
  </si>
  <si>
    <r>
      <rPr>
        <rFont val="Times New Roman"/>
        <b/>
        <color theme="1"/>
        <sz val="12.0"/>
      </rPr>
      <t>السطح</t>
    </r>
  </si>
  <si>
    <r>
      <rPr>
        <rFont val="Times New Roman"/>
        <b/>
        <color theme="1"/>
        <sz val="12.0"/>
      </rPr>
      <t>خزان المياه</t>
    </r>
  </si>
  <si>
    <r>
      <rPr>
        <rFont val="Times New Roman"/>
        <b/>
        <color theme="1"/>
        <sz val="12.0"/>
      </rPr>
      <t>النفايات</t>
    </r>
  </si>
  <si>
    <r>
      <rPr>
        <rFont val="Times New Roman"/>
        <b/>
        <color theme="1"/>
        <sz val="12.0"/>
      </rPr>
      <t>المخازن</t>
    </r>
  </si>
  <si>
    <r>
      <rPr>
        <rFont val="Times New Roman"/>
        <b/>
        <color theme="1"/>
        <sz val="12.0"/>
      </rPr>
      <t>شئون العاملين</t>
    </r>
  </si>
  <si>
    <r>
      <rPr>
        <rFont val="Times New Roman"/>
        <b/>
        <color theme="1"/>
        <sz val="12.0"/>
      </rPr>
      <t>إدارة معلومات</t>
    </r>
  </si>
  <si>
    <r>
      <rPr>
        <rFont val="Times New Roman"/>
        <b/>
        <color theme="1"/>
        <sz val="12.0"/>
      </rPr>
      <t>مكافحة العدوى</t>
    </r>
  </si>
  <si>
    <r>
      <rPr>
        <rFont val="Times New Roman"/>
        <b/>
        <color theme="1"/>
        <sz val="12.0"/>
      </rPr>
      <t>النظافة</t>
    </r>
  </si>
  <si>
    <r>
      <rPr>
        <rFont val="Times New Roman"/>
        <b/>
        <color theme="1"/>
        <sz val="12.0"/>
      </rPr>
      <t>العلاج الطبيعى</t>
    </r>
  </si>
  <si>
    <t>اجمالي تقييم غرفة المشورة</t>
  </si>
  <si>
    <t>المبادرات والالبان</t>
  </si>
  <si>
    <r>
      <rPr>
        <rFont val="Times New Roman"/>
        <b/>
        <color theme="1"/>
        <sz val="12.0"/>
      </rPr>
      <t>صحة المرأة المصرية</t>
    </r>
  </si>
  <si>
    <r>
      <rPr>
        <rFont val="Times New Roman"/>
        <b/>
        <color theme="1"/>
        <sz val="12.0"/>
      </rPr>
      <t>الإكتشاف المبكر لضعف و فقدان السمع</t>
    </r>
  </si>
  <si>
    <r>
      <rPr>
        <rFont val="Times New Roman"/>
        <b/>
        <color theme="1"/>
        <sz val="12.0"/>
      </rPr>
      <t>فحوصات ما قبل الزواج</t>
    </r>
  </si>
  <si>
    <r>
      <rPr>
        <rFont val="Times New Roman"/>
        <b/>
        <color theme="1"/>
        <sz val="12.0"/>
      </rPr>
      <t>صحة الأم و الجنين</t>
    </r>
  </si>
  <si>
    <r>
      <rPr>
        <rFont val="Times New Roman"/>
        <b/>
        <color theme="1"/>
        <sz val="12.0"/>
      </rPr>
      <t>الأمراض المزمنة</t>
    </r>
  </si>
  <si>
    <r>
      <rPr>
        <rFont val="Times New Roman"/>
        <b/>
        <color theme="1"/>
        <sz val="12.0"/>
      </rPr>
      <t>كبار السن</t>
    </r>
  </si>
  <si>
    <r>
      <rPr>
        <rFont val="Times New Roman"/>
        <b/>
        <color theme="1"/>
        <sz val="12.0"/>
      </rPr>
      <t>الأورام السرطانية</t>
    </r>
  </si>
  <si>
    <r>
      <rPr>
        <rFont val="Times New Roman"/>
        <b/>
        <color theme="1"/>
        <sz val="12.0"/>
      </rPr>
      <t>الألف يوم الذهبية</t>
    </r>
  </si>
  <si>
    <t>اجمالي نسبة التقييم الكلية للوحدة</t>
  </si>
  <si>
    <t xml:space="preserve">توقيع القائم بالتقييم </t>
  </si>
  <si>
    <r>
      <rPr>
        <rFont val="Traditional Arabic"/>
        <b/>
        <color theme="1"/>
        <sz val="14.0"/>
      </rPr>
      <t xml:space="preserve">إعتماد رئيس الفريق </t>
    </r>
  </si>
  <si>
    <t>هذه المعادلة لا يتم حذفها او التعديل بها للحفاظ على المعادلات الحسابية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</si>
</sst>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rgb="FF000000"/>
      <name val="Calibri"/>
      <scheme val="minor"/>
    </font>
    <font>
      <b/>
      <sz val="20.0"/>
      <color theme="1"/>
      <name val="Times New Roman"/>
    </font>
    <font/>
    <font>
      <b/>
      <sz val="11.0"/>
      <color theme="1"/>
      <name val="Calibri"/>
    </font>
    <font>
      <b/>
      <sz val="10.0"/>
      <color theme="1"/>
      <name val="Times New Roman"/>
    </font>
    <font>
      <b/>
      <sz val="28.0"/>
      <color theme="1"/>
      <name val="Times New Roman"/>
    </font>
    <font>
      <b/>
      <sz val="20.0"/>
      <color theme="1"/>
      <name val="Traditional Arabic"/>
    </font>
    <font>
      <b/>
      <sz val="18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SKR HEAD1"/>
    </font>
    <font>
      <b/>
      <sz val="12.0"/>
      <color theme="1"/>
      <name val="Times New Roman"/>
    </font>
    <font>
      <b/>
      <sz val="16.0"/>
      <color rgb="FF000000"/>
      <name val="Calibri"/>
    </font>
    <font>
      <b/>
      <sz val="11.0"/>
      <color theme="1"/>
      <name val="Times New Roman"/>
    </font>
    <font>
      <b/>
      <sz val="12.0"/>
      <color rgb="FF000000"/>
      <name val="Times New Roman"/>
    </font>
    <font>
      <b/>
      <u/>
      <sz val="12.0"/>
      <color theme="1"/>
      <name val="Times New Roman"/>
    </font>
    <font>
      <b/>
      <sz val="14.0"/>
      <color theme="1"/>
      <name val="Arial"/>
    </font>
    <font>
      <b/>
      <sz val="12.0"/>
      <color theme="1"/>
      <name val="Arial"/>
    </font>
    <font>
      <b/>
      <sz val="20.0"/>
      <color rgb="FF000000"/>
      <name val="Times New Roman"/>
    </font>
    <font>
      <b/>
      <sz val="16.0"/>
      <color theme="1"/>
      <name val="Times New Roman"/>
    </font>
    <font>
      <b/>
      <sz val="11.0"/>
      <color rgb="FF000000"/>
      <name val="Times New Roman"/>
    </font>
    <font>
      <b/>
      <sz val="13.0"/>
      <color theme="1"/>
      <name val="Times New Roman"/>
    </font>
    <font>
      <b/>
      <sz val="7.0"/>
      <color rgb="FF000000"/>
      <name val="Times New Roman"/>
    </font>
    <font>
      <b/>
      <sz val="14.0"/>
      <color theme="1"/>
      <name val="Calibri"/>
    </font>
    <font>
      <sz val="11.0"/>
      <color theme="1"/>
      <name val="Calibri"/>
    </font>
    <font>
      <b/>
      <sz val="16.0"/>
      <color theme="1"/>
      <name val="Traditional Arabic"/>
    </font>
    <font>
      <b/>
      <sz val="14.0"/>
      <color theme="1"/>
      <name val="Traditional Arabic"/>
    </font>
  </fonts>
  <fills count="18">
    <fill>
      <patternFill patternType="none"/>
    </fill>
    <fill>
      <patternFill patternType="lightGray"/>
    </fill>
    <fill>
      <patternFill patternType="solid">
        <fgColor rgb="FFFF66CC"/>
        <bgColor rgb="FFFF66CC"/>
      </patternFill>
    </fill>
    <fill>
      <patternFill patternType="solid">
        <fgColor rgb="FFFFCC99"/>
        <bgColor rgb="FFFFCC99"/>
      </patternFill>
    </fill>
    <fill>
      <patternFill patternType="solid">
        <fgColor rgb="FFB4C7E7"/>
        <bgColor rgb="FFB4C7E7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F85FF"/>
        <bgColor rgb="FFFF85FF"/>
      </patternFill>
    </fill>
    <fill>
      <patternFill patternType="solid">
        <fgColor rgb="FFCCC0D9"/>
        <bgColor rgb="FFCCC0D9"/>
      </patternFill>
    </fill>
    <fill>
      <patternFill patternType="solid">
        <fgColor rgb="FFA8D08E"/>
        <bgColor rgb="FFA8D08E"/>
      </patternFill>
    </fill>
    <fill>
      <patternFill patternType="solid">
        <fgColor rgb="FFFFFF99"/>
        <bgColor rgb="FFFFFF99"/>
      </patternFill>
    </fill>
    <fill>
      <patternFill patternType="solid">
        <fgColor rgb="FF8FABDB"/>
        <bgColor rgb="FF8FABDB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BED7EE"/>
        <bgColor rgb="FFBED7EE"/>
      </patternFill>
    </fill>
    <fill>
      <patternFill patternType="solid">
        <fgColor rgb="FF92D050"/>
        <bgColor rgb="FF92D050"/>
      </patternFill>
    </fill>
    <fill>
      <patternFill patternType="solid">
        <fgColor rgb="FFD2EAF1"/>
        <bgColor rgb="FFD2EAF1"/>
      </patternFill>
    </fill>
    <fill>
      <patternFill patternType="solid">
        <fgColor rgb="FFFF0000"/>
        <bgColor rgb="FFFF0000"/>
      </patternFill>
    </fill>
  </fills>
  <borders count="101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medium">
        <color rgb="FF000000"/>
      </right>
      <top style="thick">
        <color rgb="FF000000"/>
      </top>
      <bottom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 style="thick">
        <color rgb="FF000000"/>
      </top>
      <bottom/>
    </border>
    <border>
      <left/>
      <right/>
      <top/>
      <bottom/>
    </border>
    <border>
      <left/>
      <right/>
      <top/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4BACC6"/>
      </left>
      <right style="medium">
        <color rgb="FF4BACC6"/>
      </right>
      <top style="thick">
        <color rgb="FF4BACC6"/>
      </top>
      <bottom style="medium">
        <color rgb="FF4BACC6"/>
      </bottom>
    </border>
    <border>
      <left style="medium">
        <color rgb="FF4BACC6"/>
      </left>
      <right style="medium">
        <color rgb="FF4BACC6"/>
      </right>
      <top style="thick">
        <color rgb="FF4BACC6"/>
      </top>
      <bottom style="medium">
        <color rgb="FF4BACC6"/>
      </bottom>
    </border>
    <border>
      <left style="medium">
        <color rgb="FF4BACC6"/>
      </left>
      <right style="thick">
        <color rgb="FF4BACC6"/>
      </right>
      <top style="thick">
        <color rgb="FF4BACC6"/>
      </top>
      <bottom style="medium">
        <color rgb="FF4BACC6"/>
      </bottom>
    </border>
    <border>
      <left style="thick">
        <color rgb="FF4BACC6"/>
      </left>
      <right style="medium">
        <color rgb="FF4BACC6"/>
      </right>
      <top style="medium">
        <color rgb="FF4BACC6"/>
      </top>
      <bottom style="medium">
        <color rgb="FF4BACC6"/>
      </bottom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</border>
    <border>
      <left style="medium">
        <color rgb="FF4BACC6"/>
      </left>
      <right style="thick">
        <color rgb="FF4BACC6"/>
      </right>
      <top style="medium">
        <color rgb="FF4BACC6"/>
      </top>
      <bottom style="thick">
        <color rgb="FF4BACC6"/>
      </bottom>
    </border>
    <border>
      <left style="thick">
        <color rgb="FF4BACC6"/>
      </left>
      <top style="medium">
        <color rgb="FF4BACC6"/>
      </top>
      <bottom style="medium">
        <color rgb="FF4BACC6"/>
      </bottom>
    </border>
    <border>
      <top style="medium">
        <color rgb="FF4BACC6"/>
      </top>
      <bottom style="medium">
        <color rgb="FF4BACC6"/>
      </bottom>
    </border>
    <border>
      <right style="thick">
        <color rgb="FF4BACC6"/>
      </right>
      <top style="medium">
        <color rgb="FF4BACC6"/>
      </top>
      <bottom style="medium">
        <color rgb="FF4BACC6"/>
      </bottom>
    </border>
    <border>
      <left style="thick">
        <color rgb="FF4BACC6"/>
      </left>
      <top style="medium">
        <color rgb="FF4BACC6"/>
      </top>
      <bottom style="thick">
        <color rgb="FF4BACC6"/>
      </bottom>
    </border>
    <border>
      <right style="medium">
        <color rgb="FF4BACC6"/>
      </right>
      <top style="medium">
        <color rgb="FF4BACC6"/>
      </top>
      <bottom style="thick">
        <color rgb="FF4BACC6"/>
      </bottom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right" readingOrder="2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horizontal="right" readingOrder="2" shrinkToFit="0" vertical="top" wrapText="1"/>
    </xf>
    <xf borderId="0" fillId="0" fontId="1" numFmtId="0" xfId="0" applyAlignment="1" applyFont="1">
      <alignment horizontal="right" readingOrder="2" shrinkToFit="0" vertical="top" wrapText="1"/>
    </xf>
    <xf borderId="4" fillId="2" fontId="5" numFmtId="0" xfId="0" applyAlignment="1" applyBorder="1" applyFont="1">
      <alignment horizontal="center" readingOrder="2" shrinkToFit="0" vertical="center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3" fontId="6" numFmtId="0" xfId="0" applyAlignment="1" applyBorder="1" applyFill="1" applyFont="1">
      <alignment horizontal="center" readingOrder="2" shrinkToFit="0" vertical="center" wrapText="1"/>
    </xf>
    <xf borderId="13" fillId="3" fontId="6" numFmtId="0" xfId="0" applyAlignment="1" applyBorder="1" applyFont="1">
      <alignment horizontal="center" readingOrder="2" shrinkToFit="0" vertical="center" wrapText="1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3" fontId="6" numFmtId="0" xfId="0" applyAlignment="1" applyBorder="1" applyFont="1">
      <alignment horizontal="center" readingOrder="2" shrinkToFit="0" vertical="center" wrapText="1"/>
    </xf>
    <xf borderId="17" fillId="3" fontId="6" numFmtId="0" xfId="0" applyAlignment="1" applyBorder="1" applyFont="1">
      <alignment horizontal="center" readingOrder="2" shrinkToFit="0" vertical="center" wrapText="1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4" fontId="7" numFmtId="0" xfId="0" applyAlignment="1" applyBorder="1" applyFill="1" applyFont="1">
      <alignment horizontal="center" readingOrder="2" shrinkToFit="0" vertical="top" wrapText="1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5" fontId="8" numFmtId="0" xfId="0" applyAlignment="1" applyBorder="1" applyFill="1" applyFont="1">
      <alignment horizontal="center" readingOrder="2" shrinkToFit="0" vertical="top" wrapText="1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6" fontId="9" numFmtId="0" xfId="0" applyAlignment="1" applyBorder="1" applyFill="1" applyFont="1">
      <alignment horizontal="center" readingOrder="2" shrinkToFit="0" vertical="center" wrapText="1"/>
    </xf>
    <xf borderId="31" fillId="0" fontId="10" numFmtId="0" xfId="0" applyAlignment="1" applyBorder="1" applyFont="1">
      <alignment horizontal="right" readingOrder="2" shrinkToFit="0" vertical="top" wrapText="1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4" fillId="0" fontId="11" numFmtId="0" xfId="0" applyAlignment="1" applyBorder="1" applyFont="1">
      <alignment horizontal="center" vertical="center"/>
    </xf>
    <xf borderId="35" fillId="0" fontId="12" numFmtId="0" xfId="0" applyAlignment="1" applyBorder="1" applyFont="1">
      <alignment horizontal="center" readingOrder="2" shrinkToFit="0" vertical="center" wrapText="1"/>
    </xf>
    <xf borderId="36" fillId="5" fontId="8" numFmtId="0" xfId="0" applyAlignment="1" applyBorder="1" applyFont="1">
      <alignment horizontal="center" readingOrder="2" shrinkToFit="0" vertical="top" wrapText="1"/>
    </xf>
    <xf borderId="37" fillId="0" fontId="2" numFmtId="0" xfId="0" applyAlignment="1" applyBorder="1" applyFont="1">
      <alignment vertical="center"/>
    </xf>
    <xf borderId="36" fillId="7" fontId="8" numFmtId="0" xfId="0" applyAlignment="1" applyBorder="1" applyFill="1" applyFont="1">
      <alignment horizontal="center" readingOrder="2" shrinkToFit="0" vertical="top" wrapText="1"/>
    </xf>
    <xf borderId="38" fillId="0" fontId="2" numFmtId="0" xfId="0" applyAlignment="1" applyBorder="1" applyFont="1">
      <alignment vertical="center"/>
    </xf>
    <xf borderId="39" fillId="7" fontId="8" numFmtId="9" xfId="0" applyAlignment="1" applyBorder="1" applyFont="1" applyNumberFormat="1">
      <alignment horizontal="center" readingOrder="2" shrinkToFit="0" vertical="center" wrapText="1"/>
    </xf>
    <xf borderId="36" fillId="4" fontId="8" numFmtId="0" xfId="0" applyAlignment="1" applyBorder="1" applyFont="1">
      <alignment horizontal="center" readingOrder="2" shrinkToFit="0" vertical="top" wrapText="1"/>
    </xf>
    <xf borderId="36" fillId="5" fontId="8" numFmtId="0" xfId="0" applyAlignment="1" applyBorder="1" applyFont="1">
      <alignment horizontal="center" readingOrder="2" shrinkToFit="0" vertical="center" wrapText="1"/>
    </xf>
    <xf borderId="35" fillId="7" fontId="8" numFmtId="9" xfId="0" applyAlignment="1" applyBorder="1" applyFont="1" applyNumberFormat="1">
      <alignment horizontal="center" readingOrder="2" shrinkToFit="0" vertical="center" wrapText="1"/>
    </xf>
    <xf borderId="31" fillId="0" fontId="10" numFmtId="0" xfId="0" applyAlignment="1" applyBorder="1" applyFont="1">
      <alignment horizontal="right" readingOrder="1" shrinkToFit="0" vertical="top" wrapText="1"/>
    </xf>
    <xf borderId="31" fillId="0" fontId="10" numFmtId="0" xfId="0" applyAlignment="1" applyBorder="1" applyFont="1">
      <alignment horizontal="right" readingOrder="2" shrinkToFit="0" vertical="top" wrapText="1"/>
    </xf>
    <xf borderId="31" fillId="0" fontId="13" numFmtId="0" xfId="0" applyAlignment="1" applyBorder="1" applyFont="1">
      <alignment horizontal="right" readingOrder="2" shrinkToFit="0" vertical="top" wrapText="1"/>
    </xf>
    <xf borderId="31" fillId="0" fontId="14" numFmtId="0" xfId="0" applyAlignment="1" applyBorder="1" applyFont="1">
      <alignment horizontal="right" readingOrder="2" shrinkToFit="0" vertical="top" wrapText="1"/>
    </xf>
    <xf borderId="36" fillId="5" fontId="15" numFmtId="0" xfId="0" applyAlignment="1" applyBorder="1" applyFont="1">
      <alignment horizontal="center" readingOrder="2" shrinkToFit="0" vertical="top" wrapText="1"/>
    </xf>
    <xf borderId="31" fillId="0" fontId="10" numFmtId="0" xfId="0" applyAlignment="1" applyBorder="1" applyFont="1">
      <alignment horizontal="right" readingOrder="2" shrinkToFit="0" vertical="center" wrapText="1"/>
    </xf>
    <xf borderId="31" fillId="0" fontId="16" numFmtId="0" xfId="0" applyAlignment="1" applyBorder="1" applyFont="1">
      <alignment horizontal="right" readingOrder="2" shrinkToFit="0" vertical="top" wrapText="1"/>
    </xf>
    <xf borderId="31" fillId="0" fontId="12" numFmtId="0" xfId="0" applyAlignment="1" applyBorder="1" applyFont="1">
      <alignment horizontal="right" readingOrder="2" shrinkToFit="0" vertical="top" wrapText="1"/>
    </xf>
    <xf borderId="36" fillId="8" fontId="8" numFmtId="0" xfId="0" applyAlignment="1" applyBorder="1" applyFill="1" applyFont="1">
      <alignment horizontal="center" readingOrder="2" shrinkToFit="0" vertical="top" wrapText="1"/>
    </xf>
    <xf borderId="40" fillId="7" fontId="8" numFmtId="0" xfId="0" applyAlignment="1" applyBorder="1" applyFont="1">
      <alignment horizontal="center" readingOrder="2" shrinkToFit="0" vertical="top" wrapText="1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3" fillId="7" fontId="8" numFmtId="9" xfId="0" applyAlignment="1" applyBorder="1" applyFont="1" applyNumberFormat="1">
      <alignment horizontal="center" readingOrder="2" shrinkToFit="0" vertical="center" wrapText="1"/>
    </xf>
    <xf borderId="0" fillId="0" fontId="4" numFmtId="0" xfId="0" applyAlignment="1" applyFont="1">
      <alignment horizontal="center" vertical="bottom"/>
    </xf>
    <xf borderId="44" fillId="9" fontId="17" numFmtId="0" xfId="0" applyAlignment="1" applyBorder="1" applyFill="1" applyFont="1">
      <alignment horizontal="center" readingOrder="2" shrinkToFit="0" vertical="center" wrapText="1"/>
    </xf>
    <xf borderId="45" fillId="0" fontId="2" numFmtId="0" xfId="0" applyAlignment="1" applyBorder="1" applyFont="1">
      <alignment vertical="center"/>
    </xf>
    <xf borderId="46" fillId="0" fontId="2" numFmtId="0" xfId="0" applyAlignment="1" applyBorder="1" applyFont="1">
      <alignment vertical="center"/>
    </xf>
    <xf borderId="47" fillId="10" fontId="18" numFmtId="0" xfId="0" applyAlignment="1" applyBorder="1" applyFill="1" applyFont="1">
      <alignment horizontal="center" readingOrder="2" shrinkToFit="0" vertical="center" wrapText="1"/>
    </xf>
    <xf borderId="48" fillId="10" fontId="8" numFmtId="0" xfId="0" applyAlignment="1" applyBorder="1" applyFont="1">
      <alignment horizontal="center" readingOrder="2" shrinkToFit="0" vertical="center" wrapText="1"/>
    </xf>
    <xf borderId="49" fillId="10" fontId="8" numFmtId="0" xfId="0" applyAlignment="1" applyBorder="1" applyFont="1">
      <alignment horizontal="center" readingOrder="2" shrinkToFit="0" vertical="center" wrapText="1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10" fontId="8" numFmtId="0" xfId="0" applyAlignment="1" applyBorder="1" applyFont="1">
      <alignment horizontal="center" readingOrder="2" shrinkToFit="0" vertical="center" wrapText="1"/>
    </xf>
    <xf borderId="53" fillId="0" fontId="2" numFmtId="0" xfId="0" applyAlignment="1" applyBorder="1" applyFont="1">
      <alignment vertical="center"/>
    </xf>
    <xf borderId="54" fillId="10" fontId="8" numFmtId="0" xfId="0" applyAlignment="1" applyBorder="1" applyFont="1">
      <alignment horizontal="center" readingOrder="2" shrinkToFit="0" vertical="center" wrapText="1"/>
    </xf>
    <xf borderId="30" fillId="10" fontId="18" numFmtId="0" xfId="0" applyAlignment="1" applyBorder="1" applyFont="1">
      <alignment horizontal="center" readingOrder="2" shrinkToFit="0" vertical="center" wrapText="1"/>
    </xf>
    <xf borderId="55" fillId="10" fontId="8" numFmtId="0" xfId="0" applyAlignment="1" applyBorder="1" applyFont="1">
      <alignment horizontal="center" readingOrder="2" shrinkToFit="0" vertical="center" wrapText="1"/>
    </xf>
    <xf borderId="56" fillId="0" fontId="2" numFmtId="0" xfId="0" applyAlignment="1" applyBorder="1" applyFont="1">
      <alignment vertical="center"/>
    </xf>
    <xf borderId="57" fillId="0" fontId="2" numFmtId="0" xfId="0" applyAlignment="1" applyBorder="1" applyFont="1">
      <alignment vertical="center"/>
    </xf>
    <xf borderId="58" fillId="0" fontId="2" numFmtId="0" xfId="0" applyAlignment="1" applyBorder="1" applyFont="1">
      <alignment vertical="center"/>
    </xf>
    <xf borderId="30" fillId="0" fontId="8" numFmtId="0" xfId="0" applyAlignment="1" applyBorder="1" applyFont="1">
      <alignment horizontal="center" readingOrder="2" shrinkToFit="0" vertical="center" wrapText="1"/>
    </xf>
    <xf borderId="55" fillId="0" fontId="19" numFmtId="0" xfId="0" applyAlignment="1" applyBorder="1" applyFont="1">
      <alignment horizontal="center" readingOrder="2" shrinkToFit="0" vertical="center" wrapText="1"/>
    </xf>
    <xf borderId="55" fillId="0" fontId="12" numFmtId="0" xfId="0" applyAlignment="1" applyBorder="1" applyFont="1">
      <alignment horizontal="center" readingOrder="2" shrinkToFit="0" vertical="center" wrapText="1"/>
    </xf>
    <xf borderId="31" fillId="0" fontId="20" numFmtId="0" xfId="0" applyAlignment="1" applyBorder="1" applyFont="1">
      <alignment horizontal="center" readingOrder="2" shrinkToFit="0" vertical="center" wrapText="1"/>
    </xf>
    <xf borderId="55" fillId="10" fontId="12" numFmtId="0" xfId="0" applyAlignment="1" applyBorder="1" applyFont="1">
      <alignment horizontal="center" readingOrder="2" shrinkToFit="0" vertical="center" wrapText="1"/>
    </xf>
    <xf borderId="36" fillId="10" fontId="18" numFmtId="0" xfId="0" applyAlignment="1" applyBorder="1" applyFont="1">
      <alignment horizontal="center" readingOrder="2" shrinkToFit="0" vertical="center" wrapText="1"/>
    </xf>
    <xf borderId="31" fillId="0" fontId="12" numFmtId="0" xfId="0" applyAlignment="1" applyBorder="1" applyFont="1">
      <alignment horizontal="center" readingOrder="2" shrinkToFit="0" vertical="center" wrapText="1"/>
    </xf>
    <xf borderId="55" fillId="0" fontId="10" numFmtId="0" xfId="0" applyAlignment="1" applyBorder="1" applyFont="1">
      <alignment horizontal="center" readingOrder="2" shrinkToFit="0" vertical="center" wrapText="1"/>
    </xf>
    <xf borderId="59" fillId="0" fontId="8" numFmtId="0" xfId="0" applyAlignment="1" applyBorder="1" applyFont="1">
      <alignment horizontal="center" readingOrder="2" shrinkToFit="0" vertical="center" wrapText="1"/>
    </xf>
    <xf borderId="60" fillId="0" fontId="19" numFmtId="0" xfId="0" applyAlignment="1" applyBorder="1" applyFont="1">
      <alignment horizontal="center" readingOrder="2" shrinkToFit="0" vertical="center" wrapText="1"/>
    </xf>
    <xf borderId="60" fillId="0" fontId="10" numFmtId="0" xfId="0" applyAlignment="1" applyBorder="1" applyFont="1">
      <alignment horizontal="center" readingOrder="2" shrinkToFit="0" vertical="center" wrapText="1"/>
    </xf>
    <xf borderId="61" fillId="0" fontId="12" numFmtId="0" xfId="0" applyAlignment="1" applyBorder="1" applyFont="1">
      <alignment horizontal="center" readingOrder="2" shrinkToFit="0" vertical="center" wrapText="1"/>
    </xf>
    <xf borderId="62" fillId="0" fontId="11" numFmtId="0" xfId="0" applyAlignment="1" applyBorder="1" applyFont="1">
      <alignment horizontal="center" vertical="center"/>
    </xf>
    <xf borderId="63" fillId="9" fontId="17" numFmtId="0" xfId="0" applyAlignment="1" applyBorder="1" applyFont="1">
      <alignment horizontal="center" readingOrder="2" shrinkToFit="0" vertical="center" wrapText="1"/>
    </xf>
    <xf borderId="64" fillId="0" fontId="2" numFmtId="0" xfId="0" applyAlignment="1" applyBorder="1" applyFont="1">
      <alignment vertical="center"/>
    </xf>
    <xf borderId="65" fillId="0" fontId="2" numFmtId="0" xfId="0" applyAlignment="1" applyBorder="1" applyFont="1">
      <alignment vertical="center"/>
    </xf>
    <xf borderId="30" fillId="10" fontId="10" numFmtId="0" xfId="0" applyAlignment="1" applyBorder="1" applyFont="1">
      <alignment horizontal="center" readingOrder="2" shrinkToFit="0" vertical="center" wrapText="1"/>
    </xf>
    <xf borderId="55" fillId="10" fontId="10" numFmtId="0" xfId="0" applyAlignment="1" applyBorder="1" applyFont="1">
      <alignment horizontal="center" readingOrder="2" shrinkToFit="0" vertical="center" wrapText="1"/>
    </xf>
    <xf borderId="31" fillId="10" fontId="10" numFmtId="0" xfId="0" applyAlignment="1" applyBorder="1" applyFont="1">
      <alignment horizontal="center" readingOrder="2" shrinkToFit="0" vertical="center" wrapText="1"/>
    </xf>
    <xf borderId="66" fillId="10" fontId="8" numFmtId="0" xfId="0" applyAlignment="1" applyBorder="1" applyFont="1">
      <alignment horizontal="center" readingOrder="2" shrinkToFit="0" vertical="center" wrapText="1"/>
    </xf>
    <xf borderId="30" fillId="0" fontId="10" numFmtId="0" xfId="0" applyAlignment="1" applyBorder="1" applyFont="1">
      <alignment horizontal="center" readingOrder="2" shrinkToFit="0" vertical="center" wrapText="1"/>
    </xf>
    <xf borderId="31" fillId="0" fontId="10" numFmtId="0" xfId="0" applyAlignment="1" applyBorder="1" applyFont="1">
      <alignment horizontal="center" readingOrder="2" shrinkToFit="0" vertical="center" wrapText="1"/>
    </xf>
    <xf borderId="59" fillId="0" fontId="10" numFmtId="0" xfId="0" applyAlignment="1" applyBorder="1" applyFont="1">
      <alignment horizontal="center" readingOrder="2" shrinkToFit="0" vertical="center" wrapText="1"/>
    </xf>
    <xf borderId="61" fillId="0" fontId="10" numFmtId="0" xfId="0" applyAlignment="1" applyBorder="1" applyFont="1">
      <alignment horizontal="center" readingOrder="2" shrinkToFit="0" vertical="center" wrapText="1"/>
    </xf>
    <xf borderId="63" fillId="9" fontId="8" numFmtId="0" xfId="0" applyAlignment="1" applyBorder="1" applyFont="1">
      <alignment horizontal="center" readingOrder="2" shrinkToFit="0" vertical="center" wrapText="1"/>
    </xf>
    <xf borderId="55" fillId="0" fontId="21" numFmtId="0" xfId="0" applyAlignment="1" applyBorder="1" applyFont="1">
      <alignment horizontal="center" readingOrder="2" shrinkToFit="0" vertical="center" wrapText="1"/>
    </xf>
    <xf borderId="31" fillId="0" fontId="19" numFmtId="0" xfId="0" applyAlignment="1" applyBorder="1" applyFont="1">
      <alignment horizontal="center" readingOrder="2" shrinkToFit="0" vertical="center" wrapText="1"/>
    </xf>
    <xf borderId="55" fillId="0" fontId="13" numFmtId="0" xfId="0" applyAlignment="1" applyBorder="1" applyFont="1">
      <alignment horizontal="center" readingOrder="2" shrinkToFit="0" vertical="center" wrapText="1"/>
    </xf>
    <xf borderId="31" fillId="6" fontId="19" numFmtId="0" xfId="0" applyAlignment="1" applyBorder="1" applyFont="1">
      <alignment horizontal="center" readingOrder="2" shrinkToFit="0" vertical="center" wrapText="1"/>
    </xf>
    <xf borderId="31" fillId="6" fontId="10" numFmtId="0" xfId="0" applyAlignment="1" applyBorder="1" applyFont="1">
      <alignment horizontal="center" readingOrder="2" shrinkToFit="0" vertical="center" wrapText="1"/>
    </xf>
    <xf borderId="40" fillId="2" fontId="8" numFmtId="0" xfId="0" applyAlignment="1" applyBorder="1" applyFont="1">
      <alignment horizontal="center" readingOrder="2" shrinkToFit="0" vertical="center" wrapText="1"/>
    </xf>
    <xf borderId="67" fillId="0" fontId="2" numFmtId="0" xfId="0" applyAlignment="1" applyBorder="1" applyFont="1">
      <alignment vertical="center"/>
    </xf>
    <xf borderId="68" fillId="2" fontId="8" numFmtId="9" xfId="0" applyAlignment="1" applyBorder="1" applyFont="1" applyNumberFormat="1">
      <alignment horizontal="center" readingOrder="2" shrinkToFit="0" vertical="center" wrapText="1"/>
    </xf>
    <xf borderId="0" fillId="0" fontId="4" numFmtId="0" xfId="0" applyAlignment="1" applyFont="1">
      <alignment horizontal="center" vertical="center"/>
    </xf>
    <xf borderId="4" fillId="11" fontId="1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69" fillId="0" fontId="2" numFmtId="0" xfId="0" applyAlignment="1" applyBorder="1" applyFont="1">
      <alignment vertical="center"/>
    </xf>
    <xf borderId="70" fillId="0" fontId="2" numFmtId="0" xfId="0" applyAlignment="1" applyBorder="1" applyFont="1">
      <alignment vertical="center"/>
    </xf>
    <xf borderId="71" fillId="0" fontId="2" numFmtId="0" xfId="0" applyAlignment="1" applyBorder="1" applyFont="1">
      <alignment vertical="center"/>
    </xf>
    <xf borderId="72" fillId="12" fontId="8" numFmtId="0" xfId="0" applyAlignment="1" applyBorder="1" applyFill="1" applyFont="1">
      <alignment horizontal="center" readingOrder="2" shrinkToFit="0" vertical="center" wrapText="1"/>
    </xf>
    <xf borderId="73" fillId="12" fontId="8" numFmtId="0" xfId="0" applyAlignment="1" applyBorder="1" applyFont="1">
      <alignment horizontal="center" readingOrder="2" shrinkToFit="0" vertical="center" wrapText="1"/>
    </xf>
    <xf borderId="49" fillId="12" fontId="8" numFmtId="0" xfId="0" applyAlignment="1" applyBorder="1" applyFont="1">
      <alignment horizontal="center" readingOrder="2" shrinkToFit="0" vertical="center" wrapText="1"/>
    </xf>
    <xf borderId="54" fillId="12" fontId="8" numFmtId="0" xfId="0" applyAlignment="1" applyBorder="1" applyFont="1">
      <alignment horizontal="center" readingOrder="2" shrinkToFit="0" vertical="center" wrapText="1"/>
    </xf>
    <xf borderId="74" fillId="0" fontId="2" numFmtId="0" xfId="0" applyAlignment="1" applyBorder="1" applyFont="1">
      <alignment vertical="center"/>
    </xf>
    <xf borderId="75" fillId="0" fontId="2" numFmtId="0" xfId="0" applyAlignment="1" applyBorder="1" applyFont="1">
      <alignment vertical="center"/>
    </xf>
    <xf borderId="55" fillId="12" fontId="8" numFmtId="0" xfId="0" applyAlignment="1" applyBorder="1" applyFont="1">
      <alignment horizontal="center" readingOrder="2" shrinkToFit="0" vertical="center" wrapText="1"/>
    </xf>
    <xf borderId="55" fillId="0" fontId="8" numFmtId="0" xfId="0" applyAlignment="1" applyBorder="1" applyFont="1">
      <alignment horizontal="center" readingOrder="2" shrinkToFit="0" vertical="center" wrapText="1"/>
    </xf>
    <xf borderId="76" fillId="0" fontId="2" numFmtId="0" xfId="0" applyAlignment="1" applyBorder="1" applyFont="1">
      <alignment vertical="center"/>
    </xf>
    <xf borderId="43" fillId="2" fontId="8" numFmtId="9" xfId="0" applyAlignment="1" applyBorder="1" applyFont="1" applyNumberFormat="1">
      <alignment horizontal="center" readingOrder="2" shrinkToFit="0" vertical="center" wrapText="1"/>
    </xf>
    <xf borderId="14" fillId="0" fontId="8" numFmtId="0" xfId="0" applyAlignment="1" applyBorder="1" applyFont="1">
      <alignment horizontal="center" vertical="center"/>
    </xf>
    <xf borderId="77" fillId="6" fontId="8" numFmtId="0" xfId="0" applyAlignment="1" applyBorder="1" applyFont="1">
      <alignment horizontal="center" readingOrder="2" shrinkToFit="0" vertical="center" wrapText="1"/>
    </xf>
    <xf borderId="78" fillId="6" fontId="22" numFmtId="0" xfId="0" applyAlignment="1" applyBorder="1" applyFont="1">
      <alignment horizontal="center" vertical="center"/>
    </xf>
    <xf borderId="78" fillId="6" fontId="8" numFmtId="0" xfId="0" applyAlignment="1" applyBorder="1" applyFont="1">
      <alignment horizontal="center" readingOrder="2" shrinkToFit="0" vertical="center" wrapText="1"/>
    </xf>
    <xf borderId="79" fillId="6" fontId="8" numFmtId="0" xfId="0" applyAlignment="1" applyBorder="1" applyFont="1">
      <alignment horizontal="center" readingOrder="2" shrinkToFit="0" vertical="center" wrapText="1"/>
    </xf>
    <xf borderId="55" fillId="13" fontId="8" numFmtId="0" xfId="0" applyAlignment="1" applyBorder="1" applyFill="1" applyFont="1">
      <alignment horizontal="center" readingOrder="2" shrinkToFit="0" vertical="center" wrapText="1"/>
    </xf>
    <xf borderId="78" fillId="6" fontId="8" numFmtId="9" xfId="0" applyAlignment="1" applyBorder="1" applyFont="1" applyNumberFormat="1">
      <alignment horizontal="center" readingOrder="2" shrinkToFit="0" vertical="center" wrapText="1"/>
    </xf>
    <xf borderId="80" fillId="14" fontId="5" numFmtId="0" xfId="0" applyAlignment="1" applyBorder="1" applyFill="1" applyFont="1">
      <alignment horizontal="center" readingOrder="0" vertical="center"/>
    </xf>
    <xf borderId="81" fillId="0" fontId="2" numFmtId="0" xfId="0" applyAlignment="1" applyBorder="1" applyFont="1">
      <alignment vertical="center"/>
    </xf>
    <xf borderId="82" fillId="0" fontId="2" numFmtId="0" xfId="0" applyAlignment="1" applyBorder="1" applyFont="1">
      <alignment vertical="center"/>
    </xf>
    <xf borderId="83" fillId="0" fontId="2" numFmtId="0" xfId="0" applyAlignment="1" applyBorder="1" applyFont="1">
      <alignment vertical="center"/>
    </xf>
    <xf borderId="84" fillId="0" fontId="2" numFmtId="0" xfId="0" applyAlignment="1" applyBorder="1" applyFont="1">
      <alignment vertical="center"/>
    </xf>
    <xf borderId="85" fillId="0" fontId="2" numFmtId="0" xfId="0" applyAlignment="1" applyBorder="1" applyFont="1">
      <alignment vertical="center"/>
    </xf>
    <xf borderId="86" fillId="0" fontId="2" numFmtId="0" xfId="0" applyAlignment="1" applyBorder="1" applyFont="1">
      <alignment vertical="center"/>
    </xf>
    <xf borderId="30" fillId="5" fontId="10" numFmtId="0" xfId="0" applyAlignment="1" applyBorder="1" applyFont="1">
      <alignment horizontal="center" readingOrder="2" shrinkToFit="0" vertical="center" wrapText="1"/>
    </xf>
    <xf borderId="55" fillId="5" fontId="1" numFmtId="0" xfId="0" applyAlignment="1" applyBorder="1" applyFont="1">
      <alignment horizontal="center" readingOrder="2" shrinkToFit="0" vertical="center" wrapText="1"/>
    </xf>
    <xf borderId="31" fillId="5" fontId="10" numFmtId="0" xfId="0" applyAlignment="1" applyBorder="1" applyFont="1">
      <alignment horizontal="center" readingOrder="2" shrinkToFit="0" vertical="center" wrapText="1"/>
    </xf>
    <xf borderId="35" fillId="5" fontId="10" numFmtId="0" xfId="0" applyAlignment="1" applyBorder="1" applyFont="1">
      <alignment horizontal="center" readingOrder="2" shrinkToFit="0" vertical="center" wrapText="1"/>
    </xf>
    <xf borderId="0" fillId="0" fontId="8" numFmtId="0" xfId="0" applyAlignment="1" applyFont="1">
      <alignment horizontal="center" vertical="center"/>
    </xf>
    <xf borderId="40" fillId="2" fontId="18" numFmtId="0" xfId="0" applyAlignment="1" applyBorder="1" applyFont="1">
      <alignment horizontal="center" readingOrder="2" shrinkToFit="0" vertical="center" wrapText="1"/>
    </xf>
    <xf borderId="0" fillId="0" fontId="23" numFmtId="0" xfId="0" applyAlignment="1" applyFont="1">
      <alignment horizontal="center" vertical="center"/>
    </xf>
    <xf borderId="1" fillId="3" fontId="18" numFmtId="0" xfId="0" applyAlignment="1" applyBorder="1" applyFont="1">
      <alignment horizontal="right" readingOrder="2" shrinkToFit="0" vertical="center" wrapText="1"/>
    </xf>
    <xf borderId="1" fillId="3" fontId="18" numFmtId="0" xfId="0" applyAlignment="1" applyBorder="1" applyFont="1">
      <alignment horizontal="left" readingOrder="2" shrinkToFit="0" vertical="center" wrapText="1"/>
    </xf>
    <xf borderId="78" fillId="15" fontId="22" numFmtId="9" xfId="0" applyAlignment="1" applyBorder="1" applyFill="1" applyFont="1" applyNumberFormat="1">
      <alignment horizontal="center" vertical="center"/>
    </xf>
    <xf borderId="87" fillId="0" fontId="8" numFmtId="0" xfId="0" applyAlignment="1" applyBorder="1" applyFont="1">
      <alignment horizontal="center" readingOrder="2" shrinkToFit="0" vertical="center" wrapText="1"/>
    </xf>
    <xf borderId="88" fillId="16" fontId="8" numFmtId="0" xfId="0" applyAlignment="1" applyBorder="1" applyFill="1" applyFont="1">
      <alignment horizontal="center" readingOrder="2" shrinkToFit="0" vertical="center" wrapText="1"/>
    </xf>
    <xf borderId="89" fillId="0" fontId="8" numFmtId="0" xfId="0" applyAlignment="1" applyBorder="1" applyFont="1">
      <alignment horizontal="center" readingOrder="2" shrinkToFit="0" vertical="center" wrapText="1"/>
    </xf>
    <xf borderId="90" fillId="16" fontId="8" numFmtId="0" xfId="0" applyAlignment="1" applyBorder="1" applyFont="1">
      <alignment horizontal="center" readingOrder="2" shrinkToFit="0" vertical="center" wrapText="1"/>
    </xf>
    <xf borderId="91" fillId="14" fontId="10" numFmtId="0" xfId="0" applyAlignment="1" applyBorder="1" applyFont="1">
      <alignment horizontal="center" readingOrder="2" shrinkToFit="0" vertical="center" wrapText="1"/>
    </xf>
    <xf borderId="92" fillId="14" fontId="22" numFmtId="9" xfId="0" applyAlignment="1" applyBorder="1" applyFont="1" applyNumberFormat="1">
      <alignment horizontal="center" vertical="center"/>
    </xf>
    <xf borderId="91" fillId="16" fontId="10" numFmtId="0" xfId="0" applyAlignment="1" applyBorder="1" applyFont="1">
      <alignment horizontal="center" readingOrder="2" shrinkToFit="0" vertical="center" wrapText="1"/>
    </xf>
    <xf borderId="90" fillId="0" fontId="8" numFmtId="0" xfId="0" applyAlignment="1" applyBorder="1" applyFont="1">
      <alignment horizontal="center" readingOrder="2" shrinkToFit="0" vertical="center" wrapText="1"/>
    </xf>
    <xf borderId="93" fillId="3" fontId="24" numFmtId="0" xfId="0" applyAlignment="1" applyBorder="1" applyFont="1">
      <alignment horizontal="center" readingOrder="2" shrinkToFit="0" vertical="center" wrapText="1"/>
    </xf>
    <xf borderId="94" fillId="0" fontId="2" numFmtId="0" xfId="0" applyAlignment="1" applyBorder="1" applyFont="1">
      <alignment vertical="center"/>
    </xf>
    <xf borderId="95" fillId="0" fontId="2" numFmtId="0" xfId="0" applyAlignment="1" applyBorder="1" applyFont="1">
      <alignment vertical="center"/>
    </xf>
    <xf borderId="92" fillId="4" fontId="22" numFmtId="9" xfId="0" applyAlignment="1" applyBorder="1" applyFont="1" applyNumberFormat="1">
      <alignment horizontal="center" vertical="center"/>
    </xf>
    <xf borderId="96" fillId="15" fontId="1" numFmtId="0" xfId="0" applyAlignment="1" applyBorder="1" applyFont="1">
      <alignment horizontal="center" readingOrder="2" shrinkToFit="0" vertical="center" wrapText="1"/>
    </xf>
    <xf borderId="97" fillId="0" fontId="2" numFmtId="0" xfId="0" applyAlignment="1" applyBorder="1" applyFont="1">
      <alignment vertical="center"/>
    </xf>
    <xf borderId="92" fillId="15" fontId="22" numFmtId="9" xfId="0" applyAlignment="1" applyBorder="1" applyFont="1" applyNumberFormat="1">
      <alignment horizontal="center" vertical="center"/>
    </xf>
    <xf borderId="4" fillId="3" fontId="25" numFmtId="0" xfId="0" applyAlignment="1" applyBorder="1" applyFont="1">
      <alignment horizontal="center" readingOrder="2" shrinkToFit="0" vertical="top" wrapText="1"/>
    </xf>
    <xf borderId="98" fillId="3" fontId="25" numFmtId="0" xfId="0" applyAlignment="1" applyBorder="1" applyFont="1">
      <alignment horizontal="center" readingOrder="2" shrinkToFit="0" vertical="top" wrapText="1"/>
    </xf>
    <xf borderId="99" fillId="0" fontId="2" numFmtId="0" xfId="0" applyAlignment="1" applyBorder="1" applyFont="1">
      <alignment vertical="center"/>
    </xf>
    <xf borderId="100" fillId="0" fontId="2" numFmtId="0" xfId="0" applyAlignment="1" applyBorder="1" applyFont="1">
      <alignment vertical="center"/>
    </xf>
    <xf borderId="78" fillId="17" fontId="23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center" readingOrder="0" vertical="bottom"/>
    </xf>
    <xf borderId="0" fillId="0" fontId="23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showGridLines="0" rightToLeft="1" workbookViewId="0"/>
  </sheetViews>
  <sheetFormatPr customHeight="1" defaultColWidth="14.43" defaultRowHeight="15.0"/>
  <cols>
    <col customWidth="1" min="1" max="1" width="4.86"/>
    <col customWidth="1" min="2" max="2" width="57.14"/>
    <col customWidth="1" min="3" max="3" width="8.86"/>
    <col customWidth="1" min="4" max="4" width="16.57"/>
    <col customWidth="1" min="5" max="5" width="11.57"/>
    <col customWidth="1" min="6" max="6" width="47.14"/>
    <col customWidth="1" min="7" max="7" width="8.71"/>
    <col customWidth="1" min="8" max="8" width="8.43"/>
    <col customWidth="1" min="9" max="26" width="8.86"/>
  </cols>
  <sheetData>
    <row r="1" ht="25.5" customHeight="1">
      <c r="A1" s="1" t="s">
        <v>0</v>
      </c>
      <c r="B1" s="2"/>
      <c r="C1" s="2"/>
      <c r="D1" s="2"/>
      <c r="E1" s="2"/>
      <c r="F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1" t="s">
        <v>1</v>
      </c>
      <c r="B2" s="2"/>
      <c r="C2" s="2"/>
      <c r="D2" s="2"/>
      <c r="E2" s="2"/>
      <c r="F2" s="3"/>
      <c r="G2" s="4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>
      <c r="A3" s="7" t="s">
        <v>2</v>
      </c>
      <c r="B3" s="2"/>
      <c r="C3" s="2"/>
      <c r="D3" s="2"/>
      <c r="E3" s="2"/>
      <c r="F3" s="3"/>
      <c r="G3" s="4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5.5" customHeight="1">
      <c r="A4" s="9" t="s">
        <v>3</v>
      </c>
      <c r="B4" s="10"/>
      <c r="C4" s="10"/>
      <c r="D4" s="10"/>
      <c r="E4" s="10"/>
      <c r="F4" s="11"/>
      <c r="G4" s="4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5.5" customHeight="1">
      <c r="A5" s="12"/>
      <c r="F5" s="13"/>
      <c r="G5" s="4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5.5" customHeight="1">
      <c r="A6" s="14"/>
      <c r="B6" s="15"/>
      <c r="C6" s="15"/>
      <c r="D6" s="15"/>
      <c r="E6" s="15"/>
      <c r="F6" s="16"/>
      <c r="G6" s="4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7" t="s">
        <v>4</v>
      </c>
      <c r="B7" s="18" t="s">
        <v>5</v>
      </c>
      <c r="C7" s="19"/>
      <c r="D7" s="20"/>
      <c r="E7" s="21" t="s">
        <v>6</v>
      </c>
      <c r="F7" s="22" t="s">
        <v>7</v>
      </c>
      <c r="G7" s="4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23"/>
      <c r="B8" s="24"/>
      <c r="C8" s="25"/>
      <c r="D8" s="26"/>
      <c r="E8" s="27"/>
      <c r="F8" s="28"/>
      <c r="G8" s="4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5.5" customHeight="1">
      <c r="A9" s="29" t="s">
        <v>8</v>
      </c>
      <c r="B9" s="30"/>
      <c r="C9" s="30"/>
      <c r="D9" s="30"/>
      <c r="E9" s="30"/>
      <c r="F9" s="31"/>
      <c r="G9" s="4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32" t="s">
        <v>9</v>
      </c>
      <c r="B10" s="33"/>
      <c r="C10" s="33"/>
      <c r="D10" s="33"/>
      <c r="E10" s="33"/>
      <c r="F10" s="34"/>
      <c r="G10" s="4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35">
        <v>1.0</v>
      </c>
      <c r="B11" s="36" t="s">
        <v>10</v>
      </c>
      <c r="C11" s="37"/>
      <c r="D11" s="38"/>
      <c r="E11" s="39"/>
      <c r="F11" s="40"/>
      <c r="G11" s="4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5.5" customHeight="1">
      <c r="A12" s="35">
        <v>2.0</v>
      </c>
      <c r="B12" s="36" t="s">
        <v>11</v>
      </c>
      <c r="C12" s="37"/>
      <c r="D12" s="38"/>
      <c r="E12" s="39"/>
      <c r="F12" s="40"/>
      <c r="G12" s="4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5.5" customHeight="1">
      <c r="A13" s="35">
        <v>3.0</v>
      </c>
      <c r="B13" s="36" t="s">
        <v>12</v>
      </c>
      <c r="C13" s="37"/>
      <c r="D13" s="38"/>
      <c r="E13" s="39"/>
      <c r="F13" s="40"/>
      <c r="G13" s="4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5.5" customHeight="1">
      <c r="A14" s="35">
        <v>4.0</v>
      </c>
      <c r="B14" s="36" t="s">
        <v>13</v>
      </c>
      <c r="C14" s="37"/>
      <c r="D14" s="38"/>
      <c r="E14" s="39"/>
      <c r="F14" s="40"/>
      <c r="G14" s="4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5.5" customHeight="1">
      <c r="A15" s="35">
        <v>5.0</v>
      </c>
      <c r="B15" s="36" t="s">
        <v>14</v>
      </c>
      <c r="C15" s="37"/>
      <c r="D15" s="38"/>
      <c r="E15" s="39"/>
      <c r="F15" s="40"/>
      <c r="G15" s="4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41" t="s">
        <v>15</v>
      </c>
      <c r="B16" s="37"/>
      <c r="C16" s="37"/>
      <c r="D16" s="37"/>
      <c r="E16" s="37"/>
      <c r="F16" s="42"/>
      <c r="G16" s="4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35">
        <v>6.0</v>
      </c>
      <c r="B17" s="36" t="s">
        <v>16</v>
      </c>
      <c r="C17" s="37"/>
      <c r="D17" s="38"/>
      <c r="E17" s="39"/>
      <c r="F17" s="40" t="s">
        <v>17</v>
      </c>
      <c r="G17" s="4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35">
        <v>7.0</v>
      </c>
      <c r="B18" s="36" t="s">
        <v>18</v>
      </c>
      <c r="C18" s="37"/>
      <c r="D18" s="38"/>
      <c r="E18" s="39"/>
      <c r="F18" s="40"/>
      <c r="G18" s="4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35">
        <v>8.0</v>
      </c>
      <c r="B19" s="36" t="s">
        <v>19</v>
      </c>
      <c r="C19" s="37"/>
      <c r="D19" s="38"/>
      <c r="E19" s="39"/>
      <c r="F19" s="40"/>
      <c r="G19" s="4"/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35">
        <v>9.0</v>
      </c>
      <c r="B20" s="36" t="s">
        <v>20</v>
      </c>
      <c r="C20" s="37"/>
      <c r="D20" s="38"/>
      <c r="E20" s="39"/>
      <c r="F20" s="40"/>
      <c r="G20" s="4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78.0" customHeight="1">
      <c r="A21" s="35">
        <v>10.0</v>
      </c>
      <c r="B21" s="36" t="s">
        <v>21</v>
      </c>
      <c r="C21" s="37"/>
      <c r="D21" s="38"/>
      <c r="E21" s="39"/>
      <c r="F21" s="40"/>
      <c r="G21" s="4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35">
        <v>11.0</v>
      </c>
      <c r="B22" s="36" t="s">
        <v>22</v>
      </c>
      <c r="C22" s="37"/>
      <c r="D22" s="38"/>
      <c r="E22" s="39"/>
      <c r="F22" s="40"/>
      <c r="G22" s="4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35">
        <v>12.0</v>
      </c>
      <c r="B23" s="36" t="s">
        <v>23</v>
      </c>
      <c r="C23" s="37"/>
      <c r="D23" s="38"/>
      <c r="E23" s="39"/>
      <c r="F23" s="40"/>
      <c r="G23" s="4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0.0" customHeight="1">
      <c r="A24" s="35">
        <v>13.0</v>
      </c>
      <c r="B24" s="36" t="s">
        <v>24</v>
      </c>
      <c r="C24" s="37"/>
      <c r="D24" s="38"/>
      <c r="E24" s="39"/>
      <c r="F24" s="40" t="s">
        <v>25</v>
      </c>
      <c r="G24" s="4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41" t="s">
        <v>26</v>
      </c>
      <c r="B25" s="37"/>
      <c r="C25" s="37"/>
      <c r="D25" s="37"/>
      <c r="E25" s="37"/>
      <c r="F25" s="42"/>
      <c r="G25" s="4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35">
        <v>14.0</v>
      </c>
      <c r="B26" s="36" t="s">
        <v>27</v>
      </c>
      <c r="C26" s="37"/>
      <c r="D26" s="38"/>
      <c r="E26" s="39"/>
      <c r="F26" s="40"/>
      <c r="G26" s="4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35">
        <v>15.0</v>
      </c>
      <c r="B27" s="36" t="s">
        <v>28</v>
      </c>
      <c r="C27" s="37"/>
      <c r="D27" s="38"/>
      <c r="E27" s="39"/>
      <c r="F27" s="40"/>
      <c r="G27" s="4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35">
        <v>16.0</v>
      </c>
      <c r="B28" s="36" t="s">
        <v>29</v>
      </c>
      <c r="C28" s="37"/>
      <c r="D28" s="38"/>
      <c r="E28" s="39"/>
      <c r="F28" s="40"/>
      <c r="G28" s="4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35">
        <v>17.0</v>
      </c>
      <c r="B29" s="36" t="s">
        <v>30</v>
      </c>
      <c r="C29" s="37"/>
      <c r="D29" s="38"/>
      <c r="E29" s="39"/>
      <c r="F29" s="40" t="s">
        <v>31</v>
      </c>
      <c r="G29" s="4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41" t="s">
        <v>32</v>
      </c>
      <c r="B30" s="37"/>
      <c r="C30" s="37"/>
      <c r="D30" s="37"/>
      <c r="E30" s="37"/>
      <c r="F30" s="42"/>
      <c r="G30" s="4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35">
        <v>18.0</v>
      </c>
      <c r="B31" s="36" t="s">
        <v>33</v>
      </c>
      <c r="C31" s="37"/>
      <c r="D31" s="38"/>
      <c r="E31" s="39"/>
      <c r="F31" s="40"/>
      <c r="G31" s="4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35">
        <v>19.0</v>
      </c>
      <c r="B32" s="36" t="s">
        <v>34</v>
      </c>
      <c r="C32" s="37"/>
      <c r="D32" s="38"/>
      <c r="E32" s="39"/>
      <c r="F32" s="40"/>
      <c r="G32" s="4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35">
        <v>20.0</v>
      </c>
      <c r="B33" s="36" t="s">
        <v>35</v>
      </c>
      <c r="C33" s="37"/>
      <c r="D33" s="38"/>
      <c r="E33" s="39"/>
      <c r="F33" s="40" t="s">
        <v>36</v>
      </c>
      <c r="G33" s="4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35">
        <v>21.0</v>
      </c>
      <c r="B34" s="36" t="s">
        <v>37</v>
      </c>
      <c r="C34" s="37"/>
      <c r="D34" s="38"/>
      <c r="E34" s="39"/>
      <c r="F34" s="40"/>
      <c r="G34" s="4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35">
        <v>22.0</v>
      </c>
      <c r="B35" s="36" t="s">
        <v>38</v>
      </c>
      <c r="C35" s="37"/>
      <c r="D35" s="38"/>
      <c r="E35" s="39"/>
      <c r="F35" s="40" t="s">
        <v>31</v>
      </c>
      <c r="G35" s="4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75.0" customHeight="1">
      <c r="A36" s="35">
        <v>23.0</v>
      </c>
      <c r="B36" s="36" t="s">
        <v>39</v>
      </c>
      <c r="C36" s="37"/>
      <c r="D36" s="38"/>
      <c r="E36" s="39"/>
      <c r="F36" s="40" t="s">
        <v>40</v>
      </c>
      <c r="G36" s="4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35">
        <v>24.0</v>
      </c>
      <c r="B37" s="36" t="s">
        <v>41</v>
      </c>
      <c r="C37" s="37"/>
      <c r="D37" s="38"/>
      <c r="E37" s="39"/>
      <c r="F37" s="40"/>
      <c r="G37" s="4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88.5" customHeight="1">
      <c r="A38" s="35">
        <v>25.0</v>
      </c>
      <c r="B38" s="36" t="s">
        <v>42</v>
      </c>
      <c r="C38" s="37"/>
      <c r="D38" s="38"/>
      <c r="E38" s="39"/>
      <c r="F38" s="40"/>
      <c r="G38" s="4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04.25" customHeight="1">
      <c r="A39" s="35">
        <v>26.0</v>
      </c>
      <c r="B39" s="36" t="s">
        <v>43</v>
      </c>
      <c r="C39" s="37"/>
      <c r="D39" s="38"/>
      <c r="E39" s="39"/>
      <c r="F39" s="40"/>
      <c r="G39" s="4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41" t="s">
        <v>44</v>
      </c>
      <c r="B40" s="37"/>
      <c r="C40" s="37"/>
      <c r="D40" s="37"/>
      <c r="E40" s="37"/>
      <c r="F40" s="42"/>
      <c r="G40" s="4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35">
        <v>27.0</v>
      </c>
      <c r="B41" s="36" t="s">
        <v>45</v>
      </c>
      <c r="C41" s="37"/>
      <c r="D41" s="38"/>
      <c r="E41" s="39"/>
      <c r="F41" s="40" t="s">
        <v>31</v>
      </c>
      <c r="G41" s="4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5.5" customHeight="1">
      <c r="A42" s="35">
        <v>28.0</v>
      </c>
      <c r="B42" s="36" t="s">
        <v>46</v>
      </c>
      <c r="C42" s="37"/>
      <c r="D42" s="38"/>
      <c r="E42" s="39"/>
      <c r="F42" s="40" t="s">
        <v>31</v>
      </c>
      <c r="G42" s="4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35" t="s">
        <v>47</v>
      </c>
      <c r="B43" s="36" t="s">
        <v>48</v>
      </c>
      <c r="C43" s="37"/>
      <c r="D43" s="38"/>
      <c r="E43" s="39"/>
      <c r="F43" s="40" t="s">
        <v>31</v>
      </c>
      <c r="G43" s="4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5.5" customHeight="1">
      <c r="A44" s="35">
        <v>30.0</v>
      </c>
      <c r="B44" s="36" t="s">
        <v>49</v>
      </c>
      <c r="C44" s="37"/>
      <c r="D44" s="38"/>
      <c r="E44" s="39"/>
      <c r="F44" s="40" t="s">
        <v>31</v>
      </c>
      <c r="G44" s="4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5.5" customHeight="1">
      <c r="A45" s="41" t="s">
        <v>50</v>
      </c>
      <c r="B45" s="37"/>
      <c r="C45" s="37"/>
      <c r="D45" s="37"/>
      <c r="E45" s="37"/>
      <c r="F45" s="42"/>
      <c r="G45" s="4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5.5" customHeight="1">
      <c r="A46" s="35">
        <v>31.0</v>
      </c>
      <c r="B46" s="36" t="s">
        <v>51</v>
      </c>
      <c r="C46" s="37"/>
      <c r="D46" s="38"/>
      <c r="E46" s="39"/>
      <c r="F46" s="40"/>
      <c r="G46" s="4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5.5" customHeight="1">
      <c r="A47" s="35">
        <v>32.0</v>
      </c>
      <c r="B47" s="36" t="s">
        <v>52</v>
      </c>
      <c r="C47" s="37"/>
      <c r="D47" s="38"/>
      <c r="E47" s="39"/>
      <c r="F47" s="40"/>
      <c r="G47" s="4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5.5" customHeight="1">
      <c r="A48" s="35">
        <v>33.0</v>
      </c>
      <c r="B48" s="36" t="s">
        <v>53</v>
      </c>
      <c r="C48" s="37"/>
      <c r="D48" s="38"/>
      <c r="E48" s="39"/>
      <c r="F48" s="40"/>
      <c r="G48" s="4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5.5" customHeight="1">
      <c r="A49" s="35">
        <v>34.0</v>
      </c>
      <c r="B49" s="36" t="s">
        <v>54</v>
      </c>
      <c r="C49" s="37"/>
      <c r="D49" s="38"/>
      <c r="E49" s="39"/>
      <c r="F49" s="40"/>
      <c r="G49" s="4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5.5" customHeight="1">
      <c r="A50" s="43" t="s">
        <v>55</v>
      </c>
      <c r="B50" s="37"/>
      <c r="C50" s="37"/>
      <c r="D50" s="37"/>
      <c r="E50" s="44"/>
      <c r="F50" s="45" t="str">
        <f>IF(COUNT(E11:E49)=0,"N/A",SUM((E11:E49))/(COUNT((E11:E49))*2))</f>
        <v>N/A</v>
      </c>
      <c r="G50" s="4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5.5" customHeight="1">
      <c r="A51" s="46" t="s">
        <v>56</v>
      </c>
      <c r="B51" s="37"/>
      <c r="C51" s="37"/>
      <c r="D51" s="37"/>
      <c r="E51" s="37"/>
      <c r="F51" s="42"/>
      <c r="G51" s="4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5.5" customHeight="1">
      <c r="A52" s="35">
        <v>1.0</v>
      </c>
      <c r="B52" s="36" t="s">
        <v>57</v>
      </c>
      <c r="C52" s="37"/>
      <c r="D52" s="38"/>
      <c r="E52" s="39"/>
      <c r="F52" s="40"/>
      <c r="G52" s="4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5.5" customHeight="1">
      <c r="A53" s="35">
        <v>2.0</v>
      </c>
      <c r="B53" s="36" t="s">
        <v>58</v>
      </c>
      <c r="C53" s="37"/>
      <c r="D53" s="38"/>
      <c r="E53" s="39"/>
      <c r="F53" s="40"/>
      <c r="G53" s="4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5.5" customHeight="1">
      <c r="A54" s="35">
        <v>3.0</v>
      </c>
      <c r="B54" s="36" t="s">
        <v>59</v>
      </c>
      <c r="C54" s="37"/>
      <c r="D54" s="38"/>
      <c r="E54" s="39"/>
      <c r="F54" s="40"/>
      <c r="G54" s="4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5.5" customHeight="1">
      <c r="A55" s="35">
        <v>4.0</v>
      </c>
      <c r="B55" s="36" t="s">
        <v>60</v>
      </c>
      <c r="C55" s="37"/>
      <c r="D55" s="38"/>
      <c r="E55" s="39"/>
      <c r="F55" s="40"/>
      <c r="G55" s="4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5.5" customHeight="1">
      <c r="A56" s="35">
        <v>5.0</v>
      </c>
      <c r="B56" s="36" t="s">
        <v>61</v>
      </c>
      <c r="C56" s="37"/>
      <c r="D56" s="38"/>
      <c r="E56" s="39"/>
      <c r="F56" s="40"/>
      <c r="G56" s="4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5.5" customHeight="1">
      <c r="A57" s="35">
        <v>6.0</v>
      </c>
      <c r="B57" s="36" t="s">
        <v>62</v>
      </c>
      <c r="C57" s="37"/>
      <c r="D57" s="38"/>
      <c r="E57" s="39"/>
      <c r="F57" s="40"/>
      <c r="G57" s="4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5.5" customHeight="1">
      <c r="A58" s="35">
        <v>7.0</v>
      </c>
      <c r="B58" s="36" t="s">
        <v>63</v>
      </c>
      <c r="C58" s="37"/>
      <c r="D58" s="38"/>
      <c r="E58" s="39"/>
      <c r="F58" s="40"/>
      <c r="G58" s="4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5.5" customHeight="1">
      <c r="A59" s="35">
        <v>8.0</v>
      </c>
      <c r="B59" s="36" t="s">
        <v>64</v>
      </c>
      <c r="C59" s="37"/>
      <c r="D59" s="38"/>
      <c r="E59" s="39"/>
      <c r="F59" s="40"/>
      <c r="G59" s="4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5.5" customHeight="1">
      <c r="A60" s="35">
        <v>9.0</v>
      </c>
      <c r="B60" s="36" t="s">
        <v>65</v>
      </c>
      <c r="C60" s="37"/>
      <c r="D60" s="38"/>
      <c r="E60" s="39"/>
      <c r="F60" s="40"/>
      <c r="G60" s="4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5.5" customHeight="1">
      <c r="A61" s="35">
        <v>10.0</v>
      </c>
      <c r="B61" s="36" t="s">
        <v>66</v>
      </c>
      <c r="C61" s="37"/>
      <c r="D61" s="38"/>
      <c r="E61" s="39"/>
      <c r="F61" s="40"/>
      <c r="G61" s="4"/>
      <c r="H61" s="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5.5" customHeight="1">
      <c r="A62" s="35">
        <v>11.0</v>
      </c>
      <c r="B62" s="36" t="s">
        <v>67</v>
      </c>
      <c r="C62" s="37"/>
      <c r="D62" s="38"/>
      <c r="E62" s="39"/>
      <c r="F62" s="40"/>
      <c r="G62" s="4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9.5" customHeight="1">
      <c r="A63" s="35">
        <v>12.0</v>
      </c>
      <c r="B63" s="36" t="s">
        <v>68</v>
      </c>
      <c r="C63" s="37"/>
      <c r="D63" s="38"/>
      <c r="E63" s="39"/>
      <c r="F63" s="40"/>
      <c r="G63" s="4"/>
      <c r="H63" s="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5.5" customHeight="1">
      <c r="A64" s="35">
        <v>13.0</v>
      </c>
      <c r="B64" s="36" t="s">
        <v>69</v>
      </c>
      <c r="C64" s="37"/>
      <c r="D64" s="38"/>
      <c r="E64" s="39"/>
      <c r="F64" s="40"/>
      <c r="G64" s="4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5.5" customHeight="1">
      <c r="A65" s="35">
        <v>14.0</v>
      </c>
      <c r="B65" s="36" t="s">
        <v>70</v>
      </c>
      <c r="C65" s="37"/>
      <c r="D65" s="38"/>
      <c r="E65" s="39"/>
      <c r="F65" s="40"/>
      <c r="G65" s="4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5.5" customHeight="1">
      <c r="A66" s="35">
        <v>15.0</v>
      </c>
      <c r="B66" s="36" t="s">
        <v>71</v>
      </c>
      <c r="C66" s="37"/>
      <c r="D66" s="38"/>
      <c r="E66" s="39"/>
      <c r="F66" s="40"/>
      <c r="G66" s="4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5.5" customHeight="1">
      <c r="A67" s="43" t="s">
        <v>55</v>
      </c>
      <c r="B67" s="37"/>
      <c r="C67" s="37"/>
      <c r="D67" s="37"/>
      <c r="E67" s="44"/>
      <c r="F67" s="45" t="str">
        <f>IF(COUNT(E51:E66)=0,"N/A",SUM((E51:E66))/(COUNT((E51:E66))*2))</f>
        <v>N/A</v>
      </c>
      <c r="G67" s="4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5.5" customHeight="1">
      <c r="A68" s="46" t="s">
        <v>72</v>
      </c>
      <c r="B68" s="37"/>
      <c r="C68" s="37"/>
      <c r="D68" s="37"/>
      <c r="E68" s="37"/>
      <c r="F68" s="42"/>
      <c r="G68" s="4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5.5" customHeight="1">
      <c r="A69" s="35">
        <v>1.0</v>
      </c>
      <c r="B69" s="36" t="s">
        <v>73</v>
      </c>
      <c r="C69" s="37"/>
      <c r="D69" s="38"/>
      <c r="E69" s="39"/>
      <c r="F69" s="40"/>
      <c r="G69" s="4"/>
      <c r="H69" s="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5.5" customHeight="1">
      <c r="A70" s="35">
        <v>2.0</v>
      </c>
      <c r="B70" s="36" t="s">
        <v>74</v>
      </c>
      <c r="C70" s="37"/>
      <c r="D70" s="38"/>
      <c r="E70" s="39"/>
      <c r="F70" s="40"/>
      <c r="G70" s="4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5.5" customHeight="1">
      <c r="A71" s="35">
        <v>3.0</v>
      </c>
      <c r="B71" s="36" t="s">
        <v>75</v>
      </c>
      <c r="C71" s="37"/>
      <c r="D71" s="38"/>
      <c r="E71" s="39"/>
      <c r="F71" s="40"/>
      <c r="G71" s="4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5.5" customHeight="1">
      <c r="A72" s="35">
        <v>4.0</v>
      </c>
      <c r="B72" s="36" t="s">
        <v>76</v>
      </c>
      <c r="C72" s="37"/>
      <c r="D72" s="38"/>
      <c r="E72" s="39"/>
      <c r="F72" s="40"/>
      <c r="G72" s="4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5.5" customHeight="1">
      <c r="A73" s="35">
        <v>5.0</v>
      </c>
      <c r="B73" s="36" t="s">
        <v>77</v>
      </c>
      <c r="C73" s="37"/>
      <c r="D73" s="38"/>
      <c r="E73" s="39"/>
      <c r="F73" s="40"/>
      <c r="G73" s="4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5.5" customHeight="1">
      <c r="A74" s="35">
        <v>6.0</v>
      </c>
      <c r="B74" s="36" t="s">
        <v>78</v>
      </c>
      <c r="C74" s="37"/>
      <c r="D74" s="38"/>
      <c r="E74" s="39"/>
      <c r="F74" s="40"/>
      <c r="G74" s="4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5.5" customHeight="1">
      <c r="A75" s="35">
        <v>7.0</v>
      </c>
      <c r="B75" s="36" t="s">
        <v>79</v>
      </c>
      <c r="C75" s="37"/>
      <c r="D75" s="38"/>
      <c r="E75" s="39"/>
      <c r="F75" s="40"/>
      <c r="G75" s="4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5.5" customHeight="1">
      <c r="A76" s="35">
        <v>8.0</v>
      </c>
      <c r="B76" s="36" t="s">
        <v>80</v>
      </c>
      <c r="C76" s="37"/>
      <c r="D76" s="38"/>
      <c r="E76" s="39"/>
      <c r="F76" s="40"/>
      <c r="G76" s="4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5.5" customHeight="1">
      <c r="A77" s="35">
        <v>9.0</v>
      </c>
      <c r="B77" s="36" t="s">
        <v>81</v>
      </c>
      <c r="C77" s="37"/>
      <c r="D77" s="38"/>
      <c r="E77" s="39"/>
      <c r="F77" s="40"/>
      <c r="G77" s="4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5.5" customHeight="1">
      <c r="A78" s="35">
        <v>10.0</v>
      </c>
      <c r="B78" s="36" t="s">
        <v>82</v>
      </c>
      <c r="C78" s="37"/>
      <c r="D78" s="38"/>
      <c r="E78" s="39"/>
      <c r="F78" s="40" t="s">
        <v>83</v>
      </c>
      <c r="G78" s="4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3.5" customHeight="1">
      <c r="A79" s="35">
        <v>11.0</v>
      </c>
      <c r="B79" s="36" t="s">
        <v>84</v>
      </c>
      <c r="C79" s="37"/>
      <c r="D79" s="38"/>
      <c r="E79" s="39"/>
      <c r="F79" s="40"/>
      <c r="G79" s="4"/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5.5" customHeight="1">
      <c r="A80" s="35">
        <v>12.0</v>
      </c>
      <c r="B80" s="36" t="s">
        <v>85</v>
      </c>
      <c r="C80" s="37"/>
      <c r="D80" s="38"/>
      <c r="E80" s="39"/>
      <c r="F80" s="40"/>
      <c r="G80" s="4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5.5" customHeight="1">
      <c r="A81" s="35">
        <v>13.0</v>
      </c>
      <c r="B81" s="36" t="s">
        <v>86</v>
      </c>
      <c r="C81" s="37"/>
      <c r="D81" s="38"/>
      <c r="E81" s="39"/>
      <c r="F81" s="40"/>
      <c r="G81" s="4"/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5.5" customHeight="1">
      <c r="A82" s="35">
        <v>14.0</v>
      </c>
      <c r="B82" s="36" t="s">
        <v>87</v>
      </c>
      <c r="C82" s="37"/>
      <c r="D82" s="38"/>
      <c r="E82" s="39"/>
      <c r="F82" s="40"/>
      <c r="G82" s="4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5.5" customHeight="1">
      <c r="A83" s="35">
        <v>15.0</v>
      </c>
      <c r="B83" s="36" t="s">
        <v>88</v>
      </c>
      <c r="C83" s="37"/>
      <c r="D83" s="38"/>
      <c r="E83" s="39"/>
      <c r="F83" s="40"/>
      <c r="G83" s="4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75.0" customHeight="1">
      <c r="A84" s="35">
        <v>16.0</v>
      </c>
      <c r="B84" s="36" t="s">
        <v>89</v>
      </c>
      <c r="C84" s="37"/>
      <c r="D84" s="38"/>
      <c r="E84" s="39"/>
      <c r="F84" s="40" t="s">
        <v>90</v>
      </c>
      <c r="G84" s="4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5.5" customHeight="1">
      <c r="A85" s="35">
        <v>17.0</v>
      </c>
      <c r="B85" s="36" t="s">
        <v>91</v>
      </c>
      <c r="C85" s="37"/>
      <c r="D85" s="38"/>
      <c r="E85" s="39"/>
      <c r="F85" s="40"/>
      <c r="G85" s="4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9.75" customHeight="1">
      <c r="A86" s="35">
        <v>18.0</v>
      </c>
      <c r="B86" s="36" t="s">
        <v>92</v>
      </c>
      <c r="C86" s="37"/>
      <c r="D86" s="38"/>
      <c r="E86" s="39"/>
      <c r="F86" s="40"/>
      <c r="G86" s="4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5.5" customHeight="1">
      <c r="A87" s="47" t="s">
        <v>93</v>
      </c>
      <c r="B87" s="37"/>
      <c r="C87" s="37"/>
      <c r="D87" s="37"/>
      <c r="E87" s="37"/>
      <c r="F87" s="42"/>
      <c r="G87" s="4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5.5" customHeight="1">
      <c r="A88" s="35">
        <v>19.0</v>
      </c>
      <c r="B88" s="36" t="s">
        <v>94</v>
      </c>
      <c r="C88" s="37"/>
      <c r="D88" s="38"/>
      <c r="E88" s="39"/>
      <c r="F88" s="40"/>
      <c r="G88" s="4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5.5" customHeight="1">
      <c r="A89" s="35">
        <v>20.0</v>
      </c>
      <c r="B89" s="36" t="s">
        <v>95</v>
      </c>
      <c r="C89" s="37"/>
      <c r="D89" s="38"/>
      <c r="E89" s="39"/>
      <c r="F89" s="40" t="s">
        <v>96</v>
      </c>
      <c r="G89" s="4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5.5" customHeight="1">
      <c r="A90" s="43" t="s">
        <v>55</v>
      </c>
      <c r="B90" s="37"/>
      <c r="C90" s="37"/>
      <c r="D90" s="37"/>
      <c r="E90" s="44"/>
      <c r="F90" s="48" t="str">
        <f>IF(COUNT(E69:E89)=0,"N/A",SUM((E69:E89))/(COUNT((E69:E89))*2))</f>
        <v>N/A</v>
      </c>
      <c r="G90" s="4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5.5" customHeight="1">
      <c r="A91" s="46" t="s">
        <v>97</v>
      </c>
      <c r="B91" s="37"/>
      <c r="C91" s="37"/>
      <c r="D91" s="37"/>
      <c r="E91" s="37"/>
      <c r="F91" s="42"/>
      <c r="G91" s="4"/>
      <c r="H91" s="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81.0" customHeight="1">
      <c r="A92" s="35">
        <v>1.0</v>
      </c>
      <c r="B92" s="36" t="s">
        <v>98</v>
      </c>
      <c r="C92" s="37"/>
      <c r="D92" s="38"/>
      <c r="E92" s="39"/>
      <c r="F92" s="40"/>
      <c r="G92" s="4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5.5" customHeight="1">
      <c r="A93" s="35">
        <v>2.0</v>
      </c>
      <c r="B93" s="36" t="s">
        <v>99</v>
      </c>
      <c r="C93" s="37"/>
      <c r="D93" s="38"/>
      <c r="E93" s="39"/>
      <c r="F93" s="40"/>
      <c r="G93" s="4"/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57.0" customHeight="1">
      <c r="A94" s="35">
        <v>3.0</v>
      </c>
      <c r="B94" s="36" t="s">
        <v>100</v>
      </c>
      <c r="C94" s="37"/>
      <c r="D94" s="38"/>
      <c r="E94" s="39"/>
      <c r="F94" s="40"/>
      <c r="G94" s="4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5.5" customHeight="1">
      <c r="A95" s="43" t="s">
        <v>101</v>
      </c>
      <c r="B95" s="37"/>
      <c r="C95" s="37"/>
      <c r="D95" s="37"/>
      <c r="E95" s="44"/>
      <c r="F95" s="48" t="str">
        <f>IF(COUNT(E92:E94)=0,"N/A",SUM((E92:E94))/(COUNT((E92:E94))*2))</f>
        <v>N/A</v>
      </c>
      <c r="G95" s="4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5.5" customHeight="1">
      <c r="A96" s="46" t="s">
        <v>102</v>
      </c>
      <c r="B96" s="37"/>
      <c r="C96" s="37"/>
      <c r="D96" s="37"/>
      <c r="E96" s="37"/>
      <c r="F96" s="42"/>
      <c r="G96" s="4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72.75" customHeight="1">
      <c r="A97" s="35">
        <v>1.0</v>
      </c>
      <c r="B97" s="36" t="s">
        <v>103</v>
      </c>
      <c r="C97" s="37"/>
      <c r="D97" s="38"/>
      <c r="E97" s="39"/>
      <c r="F97" s="40"/>
      <c r="G97" s="4"/>
      <c r="H97" s="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60.0" customHeight="1">
      <c r="A98" s="35">
        <v>2.0</v>
      </c>
      <c r="B98" s="36" t="s">
        <v>104</v>
      </c>
      <c r="C98" s="37"/>
      <c r="D98" s="38"/>
      <c r="E98" s="39"/>
      <c r="F98" s="40"/>
      <c r="G98" s="4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5.5" customHeight="1">
      <c r="A99" s="35">
        <v>3.0</v>
      </c>
      <c r="B99" s="49" t="s">
        <v>105</v>
      </c>
      <c r="C99" s="37"/>
      <c r="D99" s="38"/>
      <c r="E99" s="39"/>
      <c r="F99" s="40"/>
      <c r="G99" s="4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5.5" customHeight="1">
      <c r="A100" s="41" t="s">
        <v>106</v>
      </c>
      <c r="B100" s="37"/>
      <c r="C100" s="37"/>
      <c r="D100" s="37"/>
      <c r="E100" s="37"/>
      <c r="F100" s="42"/>
      <c r="G100" s="4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5.5" customHeight="1">
      <c r="A101" s="35">
        <v>4.0</v>
      </c>
      <c r="B101" s="36" t="s">
        <v>107</v>
      </c>
      <c r="C101" s="37"/>
      <c r="D101" s="38"/>
      <c r="E101" s="39"/>
      <c r="F101" s="40"/>
      <c r="G101" s="4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5.5" customHeight="1">
      <c r="A102" s="35">
        <v>5.0</v>
      </c>
      <c r="B102" s="36" t="s">
        <v>108</v>
      </c>
      <c r="C102" s="37"/>
      <c r="D102" s="38"/>
      <c r="E102" s="39"/>
      <c r="F102" s="40"/>
      <c r="G102" s="4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5.5" customHeight="1">
      <c r="A103" s="43" t="s">
        <v>55</v>
      </c>
      <c r="B103" s="37"/>
      <c r="C103" s="37"/>
      <c r="D103" s="37"/>
      <c r="E103" s="44"/>
      <c r="F103" s="48" t="str">
        <f>IF(COUNT(E97:E102)=0,"N/A",SUM((E97:E102))/(COUNT((E97:E102))*2))</f>
        <v>N/A</v>
      </c>
      <c r="G103" s="4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5.5" customHeight="1">
      <c r="A104" s="46" t="s">
        <v>109</v>
      </c>
      <c r="B104" s="37"/>
      <c r="C104" s="37"/>
      <c r="D104" s="37"/>
      <c r="E104" s="37"/>
      <c r="F104" s="42"/>
      <c r="G104" s="4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5.5" customHeight="1">
      <c r="A105" s="35">
        <v>1.0</v>
      </c>
      <c r="B105" s="36" t="s">
        <v>110</v>
      </c>
      <c r="C105" s="37"/>
      <c r="D105" s="38"/>
      <c r="E105" s="39"/>
      <c r="F105" s="40"/>
      <c r="G105" s="4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5.5" customHeight="1">
      <c r="A106" s="35">
        <v>2.0</v>
      </c>
      <c r="B106" s="36" t="s">
        <v>111</v>
      </c>
      <c r="C106" s="37"/>
      <c r="D106" s="38"/>
      <c r="E106" s="39"/>
      <c r="F106" s="40"/>
      <c r="G106" s="4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5.5" customHeight="1">
      <c r="A107" s="35">
        <v>3.0</v>
      </c>
      <c r="B107" s="36" t="s">
        <v>112</v>
      </c>
      <c r="C107" s="37"/>
      <c r="D107" s="38"/>
      <c r="E107" s="39"/>
      <c r="F107" s="40"/>
      <c r="G107" s="4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5.5" customHeight="1">
      <c r="A108" s="35">
        <v>4.0</v>
      </c>
      <c r="B108" s="36" t="s">
        <v>113</v>
      </c>
      <c r="C108" s="37"/>
      <c r="D108" s="38"/>
      <c r="E108" s="39"/>
      <c r="F108" s="40"/>
      <c r="G108" s="4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5.5" customHeight="1">
      <c r="A109" s="43" t="s">
        <v>55</v>
      </c>
      <c r="B109" s="37"/>
      <c r="C109" s="37"/>
      <c r="D109" s="37"/>
      <c r="E109" s="44"/>
      <c r="F109" s="48" t="str">
        <f>IF(COUNT(E105:E108)=0,"N/A",SUM((E105:E108))/(COUNT((E105:E108))*2))</f>
        <v>N/A</v>
      </c>
      <c r="G109" s="4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5.5" customHeight="1">
      <c r="A110" s="46" t="s">
        <v>114</v>
      </c>
      <c r="B110" s="37"/>
      <c r="C110" s="37"/>
      <c r="D110" s="37"/>
      <c r="E110" s="37"/>
      <c r="F110" s="42"/>
      <c r="G110" s="4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5.5" customHeight="1">
      <c r="A111" s="35">
        <v>1.0</v>
      </c>
      <c r="B111" s="36" t="s">
        <v>115</v>
      </c>
      <c r="C111" s="37"/>
      <c r="D111" s="38"/>
      <c r="E111" s="39"/>
      <c r="F111" s="40"/>
      <c r="G111" s="4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5.5" customHeight="1">
      <c r="A112" s="35">
        <v>2.0</v>
      </c>
      <c r="B112" s="36" t="s">
        <v>116</v>
      </c>
      <c r="C112" s="37"/>
      <c r="D112" s="38"/>
      <c r="E112" s="39"/>
      <c r="F112" s="40"/>
      <c r="G112" s="4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5.5" customHeight="1">
      <c r="A113" s="35">
        <v>3.0</v>
      </c>
      <c r="B113" s="36" t="s">
        <v>117</v>
      </c>
      <c r="C113" s="37"/>
      <c r="D113" s="38"/>
      <c r="E113" s="39"/>
      <c r="F113" s="40"/>
      <c r="G113" s="4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5.5" customHeight="1">
      <c r="A114" s="35">
        <v>4.0</v>
      </c>
      <c r="B114" s="36" t="s">
        <v>118</v>
      </c>
      <c r="C114" s="37"/>
      <c r="D114" s="38"/>
      <c r="E114" s="39"/>
      <c r="F114" s="40"/>
      <c r="G114" s="4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5.5" customHeight="1">
      <c r="A115" s="35">
        <v>5.0</v>
      </c>
      <c r="B115" s="36" t="s">
        <v>119</v>
      </c>
      <c r="C115" s="37"/>
      <c r="D115" s="38"/>
      <c r="E115" s="39"/>
      <c r="F115" s="40"/>
      <c r="G115" s="4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5.5" customHeight="1">
      <c r="A116" s="35">
        <v>6.0</v>
      </c>
      <c r="B116" s="36" t="s">
        <v>120</v>
      </c>
      <c r="C116" s="37"/>
      <c r="D116" s="38"/>
      <c r="E116" s="39"/>
      <c r="F116" s="40"/>
      <c r="G116" s="4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5.5" customHeight="1">
      <c r="A117" s="35">
        <v>7.0</v>
      </c>
      <c r="B117" s="36" t="s">
        <v>121</v>
      </c>
      <c r="C117" s="37"/>
      <c r="D117" s="38"/>
      <c r="E117" s="39"/>
      <c r="F117" s="40"/>
      <c r="G117" s="4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5.5" customHeight="1">
      <c r="A118" s="35">
        <v>8.0</v>
      </c>
      <c r="B118" s="36" t="s">
        <v>122</v>
      </c>
      <c r="C118" s="37"/>
      <c r="D118" s="38"/>
      <c r="E118" s="39"/>
      <c r="F118" s="40"/>
      <c r="G118" s="4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5.5" customHeight="1">
      <c r="A119" s="35">
        <v>9.0</v>
      </c>
      <c r="B119" s="36" t="s">
        <v>123</v>
      </c>
      <c r="C119" s="37"/>
      <c r="D119" s="38"/>
      <c r="E119" s="39"/>
      <c r="F119" s="40"/>
      <c r="G119" s="4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5.5" customHeight="1">
      <c r="A120" s="43" t="s">
        <v>101</v>
      </c>
      <c r="B120" s="37"/>
      <c r="C120" s="37"/>
      <c r="D120" s="37"/>
      <c r="E120" s="44"/>
      <c r="F120" s="48" t="str">
        <f>IF(COUNT(E111:E119)=0,"N/A",SUM((E111:E119))/(COUNT((E111:E119))*2))</f>
        <v>N/A</v>
      </c>
      <c r="G120" s="4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5.5" customHeight="1">
      <c r="A121" s="46" t="s">
        <v>124</v>
      </c>
      <c r="B121" s="37"/>
      <c r="C121" s="37"/>
      <c r="D121" s="37"/>
      <c r="E121" s="37"/>
      <c r="F121" s="42"/>
      <c r="G121" s="4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5.5" customHeight="1">
      <c r="A122" s="41" t="s">
        <v>125</v>
      </c>
      <c r="B122" s="37"/>
      <c r="C122" s="37"/>
      <c r="D122" s="37"/>
      <c r="E122" s="37"/>
      <c r="F122" s="42"/>
      <c r="G122" s="4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5.5" customHeight="1">
      <c r="A123" s="35">
        <v>1.0</v>
      </c>
      <c r="B123" s="36" t="s">
        <v>126</v>
      </c>
      <c r="C123" s="37"/>
      <c r="D123" s="38"/>
      <c r="E123" s="39"/>
      <c r="F123" s="40"/>
      <c r="G123" s="4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5.5" customHeight="1">
      <c r="A124" s="35">
        <v>2.0</v>
      </c>
      <c r="B124" s="36" t="s">
        <v>127</v>
      </c>
      <c r="C124" s="37"/>
      <c r="D124" s="38"/>
      <c r="E124" s="39"/>
      <c r="F124" s="40"/>
      <c r="G124" s="4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5.5" customHeight="1">
      <c r="A125" s="35">
        <v>3.0</v>
      </c>
      <c r="B125" s="36" t="s">
        <v>128</v>
      </c>
      <c r="C125" s="37"/>
      <c r="D125" s="38"/>
      <c r="E125" s="39"/>
      <c r="F125" s="40"/>
      <c r="G125" s="4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5.5" customHeight="1">
      <c r="A126" s="35">
        <v>4.0</v>
      </c>
      <c r="B126" s="36" t="s">
        <v>129</v>
      </c>
      <c r="C126" s="37"/>
      <c r="D126" s="38"/>
      <c r="E126" s="39"/>
      <c r="F126" s="40"/>
      <c r="G126" s="4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5.5" customHeight="1">
      <c r="A127" s="35">
        <v>5.0</v>
      </c>
      <c r="B127" s="36" t="s">
        <v>130</v>
      </c>
      <c r="C127" s="37"/>
      <c r="D127" s="38"/>
      <c r="E127" s="39"/>
      <c r="F127" s="40"/>
      <c r="G127" s="4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5.5" customHeight="1">
      <c r="A128" s="41" t="s">
        <v>131</v>
      </c>
      <c r="B128" s="37"/>
      <c r="C128" s="37"/>
      <c r="D128" s="37"/>
      <c r="E128" s="37"/>
      <c r="F128" s="42"/>
      <c r="G128" s="4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5.5" customHeight="1">
      <c r="A129" s="35">
        <v>6.0</v>
      </c>
      <c r="B129" s="36" t="s">
        <v>132</v>
      </c>
      <c r="C129" s="37"/>
      <c r="D129" s="38"/>
      <c r="E129" s="39"/>
      <c r="F129" s="40"/>
      <c r="G129" s="4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5.5" customHeight="1">
      <c r="A130" s="35">
        <v>7.0</v>
      </c>
      <c r="B130" s="36" t="s">
        <v>133</v>
      </c>
      <c r="C130" s="37"/>
      <c r="D130" s="38"/>
      <c r="E130" s="39"/>
      <c r="F130" s="40"/>
      <c r="G130" s="4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5.5" customHeight="1">
      <c r="A131" s="35">
        <v>8.0</v>
      </c>
      <c r="B131" s="36" t="s">
        <v>134</v>
      </c>
      <c r="C131" s="37"/>
      <c r="D131" s="38"/>
      <c r="E131" s="39"/>
      <c r="F131" s="40"/>
      <c r="G131" s="4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17.0" customHeight="1">
      <c r="A132" s="35">
        <v>9.0</v>
      </c>
      <c r="B132" s="36" t="s">
        <v>135</v>
      </c>
      <c r="C132" s="37"/>
      <c r="D132" s="38"/>
      <c r="E132" s="39"/>
      <c r="F132" s="40"/>
      <c r="G132" s="4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5.5" customHeight="1">
      <c r="A133" s="35">
        <v>10.0</v>
      </c>
      <c r="B133" s="36" t="s">
        <v>136</v>
      </c>
      <c r="C133" s="37"/>
      <c r="D133" s="38"/>
      <c r="E133" s="39"/>
      <c r="F133" s="40"/>
      <c r="G133" s="4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5.5" customHeight="1">
      <c r="A134" s="35">
        <v>11.0</v>
      </c>
      <c r="B134" s="36" t="s">
        <v>137</v>
      </c>
      <c r="C134" s="37"/>
      <c r="D134" s="38"/>
      <c r="E134" s="39"/>
      <c r="F134" s="40"/>
      <c r="G134" s="4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5.5" customHeight="1">
      <c r="A135" s="35">
        <v>12.0</v>
      </c>
      <c r="B135" s="36" t="s">
        <v>138</v>
      </c>
      <c r="C135" s="37"/>
      <c r="D135" s="38"/>
      <c r="E135" s="39"/>
      <c r="F135" s="40"/>
      <c r="G135" s="4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02.0" customHeight="1">
      <c r="A136" s="35">
        <v>13.0</v>
      </c>
      <c r="B136" s="36" t="s">
        <v>139</v>
      </c>
      <c r="C136" s="37"/>
      <c r="D136" s="38"/>
      <c r="E136" s="39"/>
      <c r="F136" s="40" t="s">
        <v>140</v>
      </c>
      <c r="G136" s="4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5.5" customHeight="1">
      <c r="A137" s="35">
        <v>14.0</v>
      </c>
      <c r="B137" s="36" t="s">
        <v>141</v>
      </c>
      <c r="C137" s="37"/>
      <c r="D137" s="38"/>
      <c r="E137" s="39"/>
      <c r="F137" s="40"/>
      <c r="G137" s="4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06.5" customHeight="1">
      <c r="A138" s="35">
        <v>15.0</v>
      </c>
      <c r="B138" s="36" t="s">
        <v>142</v>
      </c>
      <c r="C138" s="37"/>
      <c r="D138" s="38"/>
      <c r="E138" s="39"/>
      <c r="F138" s="40"/>
      <c r="G138" s="4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5.5" customHeight="1">
      <c r="A139" s="35">
        <v>16.0</v>
      </c>
      <c r="B139" s="36" t="s">
        <v>143</v>
      </c>
      <c r="C139" s="37"/>
      <c r="D139" s="38"/>
      <c r="E139" s="39"/>
      <c r="F139" s="40" t="s">
        <v>144</v>
      </c>
      <c r="G139" s="4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5.5" customHeight="1">
      <c r="A140" s="43" t="s">
        <v>55</v>
      </c>
      <c r="B140" s="37"/>
      <c r="C140" s="37"/>
      <c r="D140" s="37"/>
      <c r="E140" s="44"/>
      <c r="F140" s="48" t="str">
        <f>IF(COUNT(E123:E139)=0,"N/A",SUM((E123:E139))/(COUNT((E123:E139))*2))</f>
        <v>N/A</v>
      </c>
      <c r="G140" s="4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5.5" customHeight="1">
      <c r="A141" s="46" t="s">
        <v>145</v>
      </c>
      <c r="B141" s="37"/>
      <c r="C141" s="37"/>
      <c r="D141" s="37"/>
      <c r="E141" s="37"/>
      <c r="F141" s="42"/>
      <c r="G141" s="4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5.5" customHeight="1">
      <c r="A142" s="35">
        <v>1.0</v>
      </c>
      <c r="B142" s="50" t="s">
        <v>146</v>
      </c>
      <c r="C142" s="37"/>
      <c r="D142" s="38"/>
      <c r="E142" s="39"/>
      <c r="F142" s="40"/>
      <c r="G142" s="4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3.0" customHeight="1">
      <c r="A143" s="35">
        <v>2.0</v>
      </c>
      <c r="B143" s="50" t="s">
        <v>147</v>
      </c>
      <c r="C143" s="37"/>
      <c r="D143" s="38"/>
      <c r="E143" s="39"/>
      <c r="F143" s="40"/>
      <c r="G143" s="4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5.5" customHeight="1">
      <c r="A144" s="35">
        <v>3.0</v>
      </c>
      <c r="B144" s="50" t="s">
        <v>148</v>
      </c>
      <c r="C144" s="37"/>
      <c r="D144" s="38"/>
      <c r="E144" s="39"/>
      <c r="F144" s="40"/>
      <c r="G144" s="4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57.75" customHeight="1">
      <c r="A145" s="35">
        <v>4.0</v>
      </c>
      <c r="B145" s="50" t="s">
        <v>149</v>
      </c>
      <c r="C145" s="37"/>
      <c r="D145" s="38"/>
      <c r="E145" s="39"/>
      <c r="F145" s="40"/>
      <c r="G145" s="4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5.5" customHeight="1">
      <c r="A146" s="35">
        <v>5.0</v>
      </c>
      <c r="B146" s="50" t="s">
        <v>150</v>
      </c>
      <c r="C146" s="37"/>
      <c r="D146" s="38"/>
      <c r="E146" s="39"/>
      <c r="F146" s="40"/>
      <c r="G146" s="4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5.5" customHeight="1">
      <c r="A147" s="35">
        <v>6.0</v>
      </c>
      <c r="B147" s="36" t="s">
        <v>151</v>
      </c>
      <c r="C147" s="37"/>
      <c r="D147" s="38"/>
      <c r="E147" s="39"/>
      <c r="F147" s="40"/>
      <c r="G147" s="4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5.5" customHeight="1">
      <c r="A148" s="35">
        <v>7.0</v>
      </c>
      <c r="B148" s="36" t="s">
        <v>152</v>
      </c>
      <c r="C148" s="37"/>
      <c r="D148" s="38"/>
      <c r="E148" s="39"/>
      <c r="F148" s="40"/>
      <c r="G148" s="4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5.5" customHeight="1">
      <c r="A149" s="35">
        <v>8.0</v>
      </c>
      <c r="B149" s="36" t="s">
        <v>153</v>
      </c>
      <c r="C149" s="37"/>
      <c r="D149" s="38"/>
      <c r="E149" s="39"/>
      <c r="F149" s="40"/>
      <c r="G149" s="4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5.5" customHeight="1">
      <c r="A150" s="35">
        <v>9.0</v>
      </c>
      <c r="B150" s="36" t="s">
        <v>154</v>
      </c>
      <c r="C150" s="37"/>
      <c r="D150" s="38"/>
      <c r="E150" s="39"/>
      <c r="F150" s="40"/>
      <c r="G150" s="4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5.5" customHeight="1">
      <c r="A151" s="35">
        <v>10.0</v>
      </c>
      <c r="B151" s="36" t="s">
        <v>155</v>
      </c>
      <c r="C151" s="37"/>
      <c r="D151" s="38"/>
      <c r="E151" s="39"/>
      <c r="F151" s="40"/>
      <c r="G151" s="4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5.5" customHeight="1">
      <c r="A152" s="35">
        <v>11.0</v>
      </c>
      <c r="B152" s="36" t="s">
        <v>156</v>
      </c>
      <c r="C152" s="37"/>
      <c r="D152" s="38"/>
      <c r="E152" s="39"/>
      <c r="F152" s="40"/>
      <c r="G152" s="4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5.5" customHeight="1">
      <c r="A153" s="35">
        <v>12.0</v>
      </c>
      <c r="B153" s="36" t="s">
        <v>157</v>
      </c>
      <c r="C153" s="37"/>
      <c r="D153" s="38"/>
      <c r="E153" s="39"/>
      <c r="F153" s="40"/>
      <c r="G153" s="4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5.5" customHeight="1">
      <c r="A154" s="35">
        <v>13.0</v>
      </c>
      <c r="B154" s="36" t="s">
        <v>158</v>
      </c>
      <c r="C154" s="37"/>
      <c r="D154" s="38"/>
      <c r="E154" s="39"/>
      <c r="F154" s="40"/>
      <c r="G154" s="4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88.5" customHeight="1">
      <c r="A155" s="35">
        <v>14.0</v>
      </c>
      <c r="B155" s="36" t="s">
        <v>159</v>
      </c>
      <c r="C155" s="37"/>
      <c r="D155" s="38"/>
      <c r="E155" s="39"/>
      <c r="F155" s="40"/>
      <c r="G155" s="4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88.5" customHeight="1">
      <c r="A156" s="35">
        <v>15.0</v>
      </c>
      <c r="B156" s="36" t="s">
        <v>160</v>
      </c>
      <c r="C156" s="37"/>
      <c r="D156" s="38"/>
      <c r="E156" s="39"/>
      <c r="F156" s="40"/>
      <c r="G156" s="4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5.5" customHeight="1">
      <c r="A157" s="35">
        <v>16.0</v>
      </c>
      <c r="B157" s="36" t="s">
        <v>161</v>
      </c>
      <c r="C157" s="37"/>
      <c r="D157" s="38"/>
      <c r="E157" s="39"/>
      <c r="F157" s="40"/>
      <c r="G157" s="4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5.5" customHeight="1">
      <c r="A158" s="35">
        <v>17.0</v>
      </c>
      <c r="B158" s="36" t="s">
        <v>162</v>
      </c>
      <c r="C158" s="37"/>
      <c r="D158" s="38"/>
      <c r="E158" s="39"/>
      <c r="F158" s="40"/>
      <c r="G158" s="4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5.5" customHeight="1">
      <c r="A159" s="35">
        <v>18.0</v>
      </c>
      <c r="B159" s="36" t="s">
        <v>163</v>
      </c>
      <c r="C159" s="37"/>
      <c r="D159" s="38"/>
      <c r="E159" s="39"/>
      <c r="F159" s="40"/>
      <c r="G159" s="4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5.5" customHeight="1">
      <c r="A160" s="35">
        <v>19.0</v>
      </c>
      <c r="B160" s="36" t="s">
        <v>164</v>
      </c>
      <c r="C160" s="37"/>
      <c r="D160" s="38"/>
      <c r="E160" s="39"/>
      <c r="F160" s="40"/>
      <c r="G160" s="4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5.5" customHeight="1">
      <c r="A161" s="41" t="s">
        <v>165</v>
      </c>
      <c r="B161" s="37"/>
      <c r="C161" s="37"/>
      <c r="D161" s="37"/>
      <c r="E161" s="37"/>
      <c r="F161" s="42"/>
      <c r="G161" s="4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5.5" customHeight="1">
      <c r="A162" s="35">
        <v>20.0</v>
      </c>
      <c r="B162" s="36" t="s">
        <v>166</v>
      </c>
      <c r="C162" s="37"/>
      <c r="D162" s="38"/>
      <c r="E162" s="39"/>
      <c r="F162" s="40"/>
      <c r="G162" s="4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5.5" customHeight="1">
      <c r="A163" s="35">
        <v>21.0</v>
      </c>
      <c r="B163" s="36" t="s">
        <v>167</v>
      </c>
      <c r="C163" s="37"/>
      <c r="D163" s="38"/>
      <c r="E163" s="39"/>
      <c r="F163" s="40" t="s">
        <v>168</v>
      </c>
      <c r="G163" s="4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5.5" customHeight="1">
      <c r="A164" s="35">
        <v>22.0</v>
      </c>
      <c r="B164" s="36" t="s">
        <v>169</v>
      </c>
      <c r="C164" s="37"/>
      <c r="D164" s="38"/>
      <c r="E164" s="39"/>
      <c r="F164" s="40"/>
      <c r="G164" s="4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5.5" customHeight="1">
      <c r="A165" s="35">
        <v>23.0</v>
      </c>
      <c r="B165" s="36" t="s">
        <v>170</v>
      </c>
      <c r="C165" s="37"/>
      <c r="D165" s="38"/>
      <c r="E165" s="39"/>
      <c r="F165" s="40"/>
      <c r="G165" s="4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75.0" customHeight="1">
      <c r="A166" s="35">
        <v>24.0</v>
      </c>
      <c r="B166" s="36" t="s">
        <v>171</v>
      </c>
      <c r="C166" s="37"/>
      <c r="D166" s="38"/>
      <c r="E166" s="39"/>
      <c r="F166" s="40"/>
      <c r="G166" s="4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5.5" customHeight="1">
      <c r="A167" s="35">
        <v>25.0</v>
      </c>
      <c r="B167" s="36" t="s">
        <v>172</v>
      </c>
      <c r="C167" s="37"/>
      <c r="D167" s="38"/>
      <c r="E167" s="39"/>
      <c r="F167" s="40"/>
      <c r="G167" s="4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5.5" customHeight="1">
      <c r="A168" s="35">
        <v>26.0</v>
      </c>
      <c r="B168" s="36" t="s">
        <v>173</v>
      </c>
      <c r="C168" s="37"/>
      <c r="D168" s="38"/>
      <c r="E168" s="39"/>
      <c r="F168" s="40"/>
      <c r="G168" s="4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5.5" customHeight="1">
      <c r="A169" s="35">
        <v>27.0</v>
      </c>
      <c r="B169" s="36" t="s">
        <v>174</v>
      </c>
      <c r="C169" s="37"/>
      <c r="D169" s="38"/>
      <c r="E169" s="39"/>
      <c r="F169" s="40"/>
      <c r="G169" s="4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5.5" customHeight="1">
      <c r="A170" s="35">
        <v>28.0</v>
      </c>
      <c r="B170" s="36" t="s">
        <v>175</v>
      </c>
      <c r="C170" s="37"/>
      <c r="D170" s="38"/>
      <c r="E170" s="39"/>
      <c r="F170" s="40"/>
      <c r="G170" s="4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5.5" customHeight="1">
      <c r="A171" s="35">
        <v>29.0</v>
      </c>
      <c r="B171" s="36" t="s">
        <v>176</v>
      </c>
      <c r="C171" s="37"/>
      <c r="D171" s="38"/>
      <c r="E171" s="39"/>
      <c r="F171" s="40"/>
      <c r="G171" s="4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5.5" customHeight="1">
      <c r="A172" s="35">
        <v>30.0</v>
      </c>
      <c r="B172" s="36" t="s">
        <v>177</v>
      </c>
      <c r="C172" s="37"/>
      <c r="D172" s="38"/>
      <c r="E172" s="39"/>
      <c r="F172" s="40"/>
      <c r="G172" s="4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5.5" customHeight="1">
      <c r="A173" s="35">
        <v>31.0</v>
      </c>
      <c r="B173" s="36" t="s">
        <v>178</v>
      </c>
      <c r="C173" s="37"/>
      <c r="D173" s="38"/>
      <c r="E173" s="39"/>
      <c r="F173" s="40"/>
      <c r="G173" s="4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5.5" customHeight="1">
      <c r="A174" s="43" t="s">
        <v>55</v>
      </c>
      <c r="B174" s="37"/>
      <c r="C174" s="37"/>
      <c r="D174" s="37"/>
      <c r="E174" s="44"/>
      <c r="F174" s="48" t="str">
        <f>IF(COUNT(E142:E173)=0,"N/A",SUM((E142:E173))/(COUNT((E142:E173))*2))</f>
        <v>N/A</v>
      </c>
      <c r="G174" s="4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5.5" customHeight="1">
      <c r="A175" s="46" t="s">
        <v>179</v>
      </c>
      <c r="B175" s="37"/>
      <c r="C175" s="37"/>
      <c r="D175" s="37"/>
      <c r="E175" s="37"/>
      <c r="F175" s="42"/>
      <c r="G175" s="4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70.5" customHeight="1">
      <c r="A176" s="35">
        <v>1.0</v>
      </c>
      <c r="B176" s="51" t="s">
        <v>180</v>
      </c>
      <c r="C176" s="37"/>
      <c r="D176" s="38"/>
      <c r="E176" s="39"/>
      <c r="F176" s="40"/>
      <c r="G176" s="4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56.25" customHeight="1">
      <c r="A177" s="35">
        <v>2.0</v>
      </c>
      <c r="B177" s="36" t="s">
        <v>181</v>
      </c>
      <c r="C177" s="37"/>
      <c r="D177" s="38"/>
      <c r="E177" s="39"/>
      <c r="F177" s="40"/>
      <c r="G177" s="4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5.5" customHeight="1">
      <c r="A178" s="35">
        <v>3.0</v>
      </c>
      <c r="B178" s="36" t="s">
        <v>182</v>
      </c>
      <c r="C178" s="37"/>
      <c r="D178" s="38"/>
      <c r="E178" s="39"/>
      <c r="F178" s="40"/>
      <c r="G178" s="4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5.5" customHeight="1">
      <c r="A179" s="35">
        <v>4.0</v>
      </c>
      <c r="B179" s="36" t="s">
        <v>183</v>
      </c>
      <c r="C179" s="37"/>
      <c r="D179" s="38"/>
      <c r="E179" s="39"/>
      <c r="F179" s="40"/>
      <c r="G179" s="4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86.25" customHeight="1">
      <c r="A180" s="35">
        <v>5.0</v>
      </c>
      <c r="B180" s="36" t="s">
        <v>184</v>
      </c>
      <c r="C180" s="37"/>
      <c r="D180" s="38"/>
      <c r="E180" s="39"/>
      <c r="F180" s="40"/>
      <c r="G180" s="4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6.0" customHeight="1">
      <c r="A181" s="35">
        <v>6.0</v>
      </c>
      <c r="B181" s="36" t="s">
        <v>185</v>
      </c>
      <c r="C181" s="37"/>
      <c r="D181" s="38"/>
      <c r="E181" s="39"/>
      <c r="F181" s="40"/>
      <c r="G181" s="4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93.0" customHeight="1">
      <c r="A182" s="35">
        <v>7.0</v>
      </c>
      <c r="B182" s="36" t="s">
        <v>186</v>
      </c>
      <c r="C182" s="37"/>
      <c r="D182" s="38"/>
      <c r="E182" s="39"/>
      <c r="F182" s="40"/>
      <c r="G182" s="4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78.75" customHeight="1">
      <c r="A183" s="35">
        <v>8.0</v>
      </c>
      <c r="B183" s="36" t="s">
        <v>187</v>
      </c>
      <c r="C183" s="37"/>
      <c r="D183" s="38"/>
      <c r="E183" s="39"/>
      <c r="F183" s="40"/>
      <c r="G183" s="4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5.75" customHeight="1">
      <c r="A184" s="35">
        <v>9.0</v>
      </c>
      <c r="B184" s="36" t="s">
        <v>188</v>
      </c>
      <c r="C184" s="37"/>
      <c r="D184" s="38"/>
      <c r="E184" s="39"/>
      <c r="F184" s="40"/>
      <c r="G184" s="4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5.5" customHeight="1">
      <c r="A185" s="35">
        <v>10.0</v>
      </c>
      <c r="B185" s="36" t="s">
        <v>189</v>
      </c>
      <c r="C185" s="37"/>
      <c r="D185" s="38"/>
      <c r="E185" s="39"/>
      <c r="F185" s="40"/>
      <c r="G185" s="4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5.5" customHeight="1">
      <c r="A186" s="41" t="s">
        <v>190</v>
      </c>
      <c r="B186" s="37"/>
      <c r="C186" s="37"/>
      <c r="D186" s="37"/>
      <c r="E186" s="37"/>
      <c r="F186" s="42"/>
      <c r="G186" s="4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0.0" customHeight="1">
      <c r="A187" s="35">
        <v>11.0</v>
      </c>
      <c r="B187" s="52" t="s">
        <v>191</v>
      </c>
      <c r="C187" s="37"/>
      <c r="D187" s="38"/>
      <c r="E187" s="39"/>
      <c r="F187" s="40"/>
      <c r="G187" s="4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92.25" customHeight="1">
      <c r="A188" s="35">
        <v>12.0</v>
      </c>
      <c r="B188" s="52" t="s">
        <v>192</v>
      </c>
      <c r="C188" s="37"/>
      <c r="D188" s="38"/>
      <c r="E188" s="39"/>
      <c r="F188" s="40" t="s">
        <v>193</v>
      </c>
      <c r="G188" s="4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5.5" customHeight="1">
      <c r="A189" s="35">
        <v>13.0</v>
      </c>
      <c r="B189" s="36" t="s">
        <v>194</v>
      </c>
      <c r="C189" s="37"/>
      <c r="D189" s="38"/>
      <c r="E189" s="39"/>
      <c r="F189" s="40"/>
      <c r="G189" s="4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5.5" customHeight="1">
      <c r="A190" s="35">
        <v>14.0</v>
      </c>
      <c r="B190" s="36" t="s">
        <v>195</v>
      </c>
      <c r="C190" s="37"/>
      <c r="D190" s="38"/>
      <c r="E190" s="39"/>
      <c r="F190" s="40"/>
      <c r="G190" s="4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5.5" customHeight="1">
      <c r="A191" s="35">
        <v>15.0</v>
      </c>
      <c r="B191" s="36" t="s">
        <v>196</v>
      </c>
      <c r="C191" s="37"/>
      <c r="D191" s="38"/>
      <c r="E191" s="39"/>
      <c r="F191" s="40" t="s">
        <v>197</v>
      </c>
      <c r="G191" s="4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5.5" customHeight="1">
      <c r="A192" s="35">
        <v>16.0</v>
      </c>
      <c r="B192" s="36" t="s">
        <v>198</v>
      </c>
      <c r="C192" s="37"/>
      <c r="D192" s="38"/>
      <c r="E192" s="39"/>
      <c r="F192" s="40"/>
      <c r="G192" s="4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5.5" customHeight="1">
      <c r="A193" s="43" t="s">
        <v>55</v>
      </c>
      <c r="B193" s="37"/>
      <c r="C193" s="37"/>
      <c r="D193" s="37"/>
      <c r="E193" s="44"/>
      <c r="F193" s="48" t="str">
        <f>IF(COUNT(E176:E192)=0,"N/A",SUM((E176:E192))/(COUNT((E176:E192))*2))</f>
        <v>N/A</v>
      </c>
      <c r="G193" s="4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5.5" customHeight="1">
      <c r="A194" s="53" t="s">
        <v>199</v>
      </c>
      <c r="B194" s="37"/>
      <c r="C194" s="37"/>
      <c r="D194" s="37"/>
      <c r="E194" s="37"/>
      <c r="F194" s="42"/>
      <c r="G194" s="4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5.5" customHeight="1">
      <c r="A195" s="35">
        <v>1.0</v>
      </c>
      <c r="B195" s="54" t="s">
        <v>200</v>
      </c>
      <c r="C195" s="37"/>
      <c r="D195" s="38"/>
      <c r="E195" s="39"/>
      <c r="F195" s="40" t="s">
        <v>201</v>
      </c>
      <c r="G195" s="4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5.5" customHeight="1">
      <c r="A196" s="35">
        <v>2.0</v>
      </c>
      <c r="B196" s="54" t="s">
        <v>202</v>
      </c>
      <c r="C196" s="37"/>
      <c r="D196" s="38"/>
      <c r="E196" s="39"/>
      <c r="F196" s="40"/>
      <c r="G196" s="4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5.5" customHeight="1">
      <c r="A197" s="35">
        <v>3.0</v>
      </c>
      <c r="B197" s="54" t="s">
        <v>203</v>
      </c>
      <c r="C197" s="37"/>
      <c r="D197" s="38"/>
      <c r="E197" s="39"/>
      <c r="F197" s="40"/>
      <c r="G197" s="4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5.5" customHeight="1">
      <c r="A198" s="35">
        <v>4.0</v>
      </c>
      <c r="B198" s="54" t="s">
        <v>204</v>
      </c>
      <c r="C198" s="37"/>
      <c r="D198" s="38"/>
      <c r="E198" s="39"/>
      <c r="F198" s="40"/>
      <c r="G198" s="4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5.5" customHeight="1">
      <c r="A199" s="35">
        <v>5.0</v>
      </c>
      <c r="B199" s="54" t="s">
        <v>205</v>
      </c>
      <c r="C199" s="37"/>
      <c r="D199" s="38"/>
      <c r="E199" s="39"/>
      <c r="F199" s="40"/>
      <c r="G199" s="4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5.5" customHeight="1">
      <c r="A200" s="35">
        <v>6.0</v>
      </c>
      <c r="B200" s="54" t="s">
        <v>206</v>
      </c>
      <c r="C200" s="37"/>
      <c r="D200" s="38"/>
      <c r="E200" s="39"/>
      <c r="F200" s="40"/>
      <c r="G200" s="4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5.5" customHeight="1">
      <c r="A201" s="35">
        <v>7.0</v>
      </c>
      <c r="B201" s="54" t="s">
        <v>207</v>
      </c>
      <c r="C201" s="37"/>
      <c r="D201" s="38"/>
      <c r="E201" s="39"/>
      <c r="F201" s="40"/>
      <c r="G201" s="4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5.5" customHeight="1">
      <c r="A202" s="35">
        <v>8.0</v>
      </c>
      <c r="B202" s="54" t="s">
        <v>208</v>
      </c>
      <c r="C202" s="37"/>
      <c r="D202" s="38"/>
      <c r="E202" s="39"/>
      <c r="F202" s="40"/>
      <c r="G202" s="4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5.5" customHeight="1">
      <c r="A203" s="35">
        <v>9.0</v>
      </c>
      <c r="B203" s="54" t="s">
        <v>209</v>
      </c>
      <c r="C203" s="37"/>
      <c r="D203" s="38"/>
      <c r="E203" s="39"/>
      <c r="F203" s="40"/>
      <c r="G203" s="4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5.5" customHeight="1">
      <c r="A204" s="35">
        <v>10.0</v>
      </c>
      <c r="B204" s="54" t="s">
        <v>210</v>
      </c>
      <c r="C204" s="37"/>
      <c r="D204" s="38"/>
      <c r="E204" s="39"/>
      <c r="F204" s="40"/>
      <c r="G204" s="4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5.5" customHeight="1">
      <c r="A205" s="35">
        <v>11.0</v>
      </c>
      <c r="B205" s="54" t="s">
        <v>211</v>
      </c>
      <c r="C205" s="37"/>
      <c r="D205" s="38"/>
      <c r="E205" s="39"/>
      <c r="F205" s="40"/>
      <c r="G205" s="4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5.5" customHeight="1">
      <c r="A206" s="43" t="s">
        <v>55</v>
      </c>
      <c r="B206" s="37"/>
      <c r="C206" s="37"/>
      <c r="D206" s="37"/>
      <c r="E206" s="44"/>
      <c r="F206" s="48" t="str">
        <f>IF(COUNT(E195:E205)=0,"N/A",SUM((E195:E205))/(COUNT((E195:E205))*2))</f>
        <v>N/A</v>
      </c>
      <c r="G206" s="4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5.5" customHeight="1">
      <c r="A207" s="41" t="s">
        <v>212</v>
      </c>
      <c r="B207" s="37"/>
      <c r="C207" s="37"/>
      <c r="D207" s="37"/>
      <c r="E207" s="37"/>
      <c r="F207" s="42"/>
      <c r="G207" s="4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5.5" customHeight="1">
      <c r="A208" s="35">
        <v>1.0</v>
      </c>
      <c r="B208" s="54" t="s">
        <v>213</v>
      </c>
      <c r="C208" s="37"/>
      <c r="D208" s="38"/>
      <c r="E208" s="39"/>
      <c r="F208" s="40"/>
      <c r="G208" s="4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5.5" customHeight="1">
      <c r="A209" s="35">
        <v>2.0</v>
      </c>
      <c r="B209" s="54" t="s">
        <v>214</v>
      </c>
      <c r="C209" s="37"/>
      <c r="D209" s="38"/>
      <c r="E209" s="39"/>
      <c r="F209" s="40"/>
      <c r="G209" s="4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5.5" customHeight="1">
      <c r="A210" s="35">
        <v>3.0</v>
      </c>
      <c r="B210" s="54" t="s">
        <v>215</v>
      </c>
      <c r="C210" s="37"/>
      <c r="D210" s="38"/>
      <c r="E210" s="39"/>
      <c r="F210" s="40"/>
      <c r="G210" s="4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5.5" customHeight="1">
      <c r="A211" s="35">
        <v>4.0</v>
      </c>
      <c r="B211" s="54" t="s">
        <v>216</v>
      </c>
      <c r="C211" s="37"/>
      <c r="D211" s="38"/>
      <c r="E211" s="39"/>
      <c r="F211" s="40"/>
      <c r="G211" s="4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5.5" customHeight="1">
      <c r="A212" s="35">
        <v>5.0</v>
      </c>
      <c r="B212" s="54" t="s">
        <v>217</v>
      </c>
      <c r="C212" s="37"/>
      <c r="D212" s="38"/>
      <c r="E212" s="39"/>
      <c r="F212" s="40"/>
      <c r="G212" s="4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5.5" customHeight="1">
      <c r="A213" s="43" t="s">
        <v>55</v>
      </c>
      <c r="B213" s="37"/>
      <c r="C213" s="37"/>
      <c r="D213" s="37"/>
      <c r="E213" s="44"/>
      <c r="F213" s="48" t="str">
        <f>IF(COUNT(E208:E212)=0,"N/A",SUM((E208:E212))/(COUNT((E208:E212))*2))</f>
        <v>N/A</v>
      </c>
      <c r="G213" s="4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5.5" customHeight="1">
      <c r="A214" s="41" t="s">
        <v>218</v>
      </c>
      <c r="B214" s="37"/>
      <c r="C214" s="37"/>
      <c r="D214" s="37"/>
      <c r="E214" s="37"/>
      <c r="F214" s="42"/>
      <c r="G214" s="4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87.0" customHeight="1">
      <c r="A215" s="35">
        <v>1.0</v>
      </c>
      <c r="B215" s="36" t="s">
        <v>219</v>
      </c>
      <c r="C215" s="37"/>
      <c r="D215" s="38"/>
      <c r="E215" s="39"/>
      <c r="F215" s="40"/>
      <c r="G215" s="4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5.5" customHeight="1">
      <c r="A216" s="35">
        <v>2.0</v>
      </c>
      <c r="B216" s="36" t="s">
        <v>220</v>
      </c>
      <c r="C216" s="37"/>
      <c r="D216" s="38"/>
      <c r="E216" s="39"/>
      <c r="F216" s="40"/>
      <c r="G216" s="4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5.5" customHeight="1">
      <c r="A217" s="35">
        <v>3.0</v>
      </c>
      <c r="B217" s="36" t="s">
        <v>221</v>
      </c>
      <c r="C217" s="37"/>
      <c r="D217" s="38"/>
      <c r="E217" s="39"/>
      <c r="F217" s="40"/>
      <c r="G217" s="4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5.5" customHeight="1">
      <c r="A218" s="35">
        <v>4.0</v>
      </c>
      <c r="B218" s="36" t="s">
        <v>222</v>
      </c>
      <c r="C218" s="37"/>
      <c r="D218" s="38"/>
      <c r="E218" s="39"/>
      <c r="F218" s="40"/>
      <c r="G218" s="4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5.5" customHeight="1">
      <c r="A219" s="35">
        <v>5.0</v>
      </c>
      <c r="B219" s="36" t="s">
        <v>223</v>
      </c>
      <c r="C219" s="37"/>
      <c r="D219" s="38"/>
      <c r="E219" s="39"/>
      <c r="F219" s="40"/>
      <c r="G219" s="4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5.5" customHeight="1">
      <c r="A220" s="35">
        <v>6.0</v>
      </c>
      <c r="B220" s="36" t="s">
        <v>224</v>
      </c>
      <c r="C220" s="37"/>
      <c r="D220" s="38"/>
      <c r="E220" s="39"/>
      <c r="F220" s="40"/>
      <c r="G220" s="4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5.5" customHeight="1">
      <c r="A221" s="35">
        <v>7.0</v>
      </c>
      <c r="B221" s="36" t="s">
        <v>225</v>
      </c>
      <c r="C221" s="37"/>
      <c r="D221" s="38"/>
      <c r="E221" s="39"/>
      <c r="F221" s="40"/>
      <c r="G221" s="4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5.5" customHeight="1">
      <c r="A222" s="35">
        <v>8.0</v>
      </c>
      <c r="B222" s="36" t="s">
        <v>226</v>
      </c>
      <c r="C222" s="37"/>
      <c r="D222" s="38"/>
      <c r="E222" s="39"/>
      <c r="F222" s="40"/>
      <c r="G222" s="4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5.5" customHeight="1">
      <c r="A223" s="35">
        <v>9.0</v>
      </c>
      <c r="B223" s="36" t="s">
        <v>227</v>
      </c>
      <c r="C223" s="37"/>
      <c r="D223" s="38"/>
      <c r="E223" s="39"/>
      <c r="F223" s="40"/>
      <c r="G223" s="4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5.5" customHeight="1">
      <c r="A224" s="43" t="s">
        <v>55</v>
      </c>
      <c r="B224" s="37"/>
      <c r="C224" s="37"/>
      <c r="D224" s="37"/>
      <c r="E224" s="44"/>
      <c r="F224" s="48" t="str">
        <f>IF(COUNT(E215:E223)=0,"N/A",SUM((E215:E223))/(COUNT((E215:E223))*2))</f>
        <v>N/A</v>
      </c>
      <c r="G224" s="4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5.5" customHeight="1">
      <c r="A225" s="41" t="s">
        <v>228</v>
      </c>
      <c r="B225" s="37"/>
      <c r="C225" s="37"/>
      <c r="D225" s="37"/>
      <c r="E225" s="37"/>
      <c r="F225" s="42"/>
      <c r="G225" s="4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5.5" customHeight="1">
      <c r="A226" s="35">
        <v>1.0</v>
      </c>
      <c r="B226" s="36" t="s">
        <v>229</v>
      </c>
      <c r="C226" s="37"/>
      <c r="D226" s="38"/>
      <c r="E226" s="39"/>
      <c r="F226" s="40"/>
      <c r="G226" s="4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77.25" customHeight="1">
      <c r="A227" s="35">
        <v>2.0</v>
      </c>
      <c r="B227" s="36" t="s">
        <v>230</v>
      </c>
      <c r="C227" s="37"/>
      <c r="D227" s="38"/>
      <c r="E227" s="39"/>
      <c r="F227" s="40"/>
      <c r="G227" s="4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5.5" customHeight="1">
      <c r="A228" s="35">
        <v>3.0</v>
      </c>
      <c r="B228" s="36" t="s">
        <v>231</v>
      </c>
      <c r="C228" s="37"/>
      <c r="D228" s="38"/>
      <c r="E228" s="39"/>
      <c r="F228" s="40"/>
      <c r="G228" s="4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5.5" customHeight="1">
      <c r="A229" s="35">
        <v>4.0</v>
      </c>
      <c r="B229" s="36" t="s">
        <v>232</v>
      </c>
      <c r="C229" s="37"/>
      <c r="D229" s="38"/>
      <c r="E229" s="39"/>
      <c r="F229" s="40"/>
      <c r="G229" s="4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5.5" customHeight="1">
      <c r="A230" s="35">
        <v>5.0</v>
      </c>
      <c r="B230" s="36" t="s">
        <v>233</v>
      </c>
      <c r="C230" s="37"/>
      <c r="D230" s="38"/>
      <c r="E230" s="39"/>
      <c r="F230" s="40"/>
      <c r="G230" s="4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5.5" customHeight="1">
      <c r="A231" s="35">
        <v>6.0</v>
      </c>
      <c r="B231" s="36" t="s">
        <v>234</v>
      </c>
      <c r="C231" s="37"/>
      <c r="D231" s="38"/>
      <c r="E231" s="39"/>
      <c r="F231" s="40"/>
      <c r="G231" s="4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5.5" customHeight="1">
      <c r="A232" s="35">
        <v>7.0</v>
      </c>
      <c r="B232" s="36" t="s">
        <v>235</v>
      </c>
      <c r="C232" s="37"/>
      <c r="D232" s="38"/>
      <c r="E232" s="39"/>
      <c r="F232" s="40"/>
      <c r="G232" s="4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5.5" customHeight="1">
      <c r="A233" s="35">
        <v>8.0</v>
      </c>
      <c r="B233" s="36" t="s">
        <v>236</v>
      </c>
      <c r="C233" s="37"/>
      <c r="D233" s="38"/>
      <c r="E233" s="39"/>
      <c r="F233" s="40"/>
      <c r="G233" s="4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5.5" customHeight="1">
      <c r="A234" s="43" t="s">
        <v>55</v>
      </c>
      <c r="B234" s="37"/>
      <c r="C234" s="37"/>
      <c r="D234" s="37"/>
      <c r="E234" s="44"/>
      <c r="F234" s="48" t="str">
        <f>IF(COUNT(E226:E233)=0,"N/A",SUM((E226:E233))/(COUNT((E226:E233))*2))</f>
        <v>N/A</v>
      </c>
      <c r="G234" s="4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5.5" customHeight="1">
      <c r="A235" s="41" t="s">
        <v>237</v>
      </c>
      <c r="B235" s="37"/>
      <c r="C235" s="37"/>
      <c r="D235" s="37"/>
      <c r="E235" s="37"/>
      <c r="F235" s="42"/>
      <c r="G235" s="4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5.5" customHeight="1">
      <c r="A236" s="35">
        <v>1.0</v>
      </c>
      <c r="B236" s="54" t="s">
        <v>238</v>
      </c>
      <c r="C236" s="37"/>
      <c r="D236" s="38"/>
      <c r="E236" s="39"/>
      <c r="F236" s="40"/>
      <c r="G236" s="4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5.5" customHeight="1">
      <c r="A237" s="35">
        <v>2.0</v>
      </c>
      <c r="B237" s="54" t="s">
        <v>239</v>
      </c>
      <c r="C237" s="37"/>
      <c r="D237" s="38"/>
      <c r="E237" s="39"/>
      <c r="F237" s="40"/>
      <c r="G237" s="4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5.5" customHeight="1">
      <c r="A238" s="35">
        <v>3.0</v>
      </c>
      <c r="B238" s="54" t="s">
        <v>240</v>
      </c>
      <c r="C238" s="37"/>
      <c r="D238" s="38"/>
      <c r="E238" s="39"/>
      <c r="F238" s="40"/>
      <c r="G238" s="4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5.5" customHeight="1">
      <c r="A239" s="35">
        <v>4.0</v>
      </c>
      <c r="B239" s="54" t="s">
        <v>241</v>
      </c>
      <c r="C239" s="37"/>
      <c r="D239" s="38"/>
      <c r="E239" s="39"/>
      <c r="F239" s="40"/>
      <c r="G239" s="4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5.5" customHeight="1">
      <c r="A240" s="35">
        <v>5.0</v>
      </c>
      <c r="B240" s="54" t="s">
        <v>242</v>
      </c>
      <c r="C240" s="37"/>
      <c r="D240" s="38"/>
      <c r="E240" s="39"/>
      <c r="F240" s="40"/>
      <c r="G240" s="4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5.5" customHeight="1">
      <c r="A241" s="35">
        <v>6.0</v>
      </c>
      <c r="B241" s="54" t="s">
        <v>243</v>
      </c>
      <c r="C241" s="37"/>
      <c r="D241" s="38"/>
      <c r="E241" s="39"/>
      <c r="F241" s="40"/>
      <c r="G241" s="4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5.5" customHeight="1">
      <c r="A242" s="35">
        <v>7.0</v>
      </c>
      <c r="B242" s="54" t="s">
        <v>244</v>
      </c>
      <c r="C242" s="37"/>
      <c r="D242" s="38"/>
      <c r="E242" s="39"/>
      <c r="F242" s="40"/>
      <c r="G242" s="4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11.0" customHeight="1">
      <c r="A243" s="35">
        <v>8.0</v>
      </c>
      <c r="B243" s="54" t="s">
        <v>245</v>
      </c>
      <c r="C243" s="37"/>
      <c r="D243" s="38"/>
      <c r="E243" s="39"/>
      <c r="F243" s="40"/>
      <c r="G243" s="4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5.5" customHeight="1">
      <c r="A244" s="35">
        <v>9.0</v>
      </c>
      <c r="B244" s="54" t="s">
        <v>246</v>
      </c>
      <c r="C244" s="37"/>
      <c r="D244" s="38"/>
      <c r="E244" s="39"/>
      <c r="F244" s="40"/>
      <c r="G244" s="4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5.5" customHeight="1">
      <c r="A245" s="35">
        <v>10.0</v>
      </c>
      <c r="B245" s="54" t="s">
        <v>247</v>
      </c>
      <c r="C245" s="37"/>
      <c r="D245" s="38"/>
      <c r="E245" s="39"/>
      <c r="F245" s="40"/>
      <c r="G245" s="4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5.5" customHeight="1">
      <c r="A246" s="35">
        <v>11.0</v>
      </c>
      <c r="B246" s="54" t="s">
        <v>248</v>
      </c>
      <c r="C246" s="37"/>
      <c r="D246" s="38"/>
      <c r="E246" s="39"/>
      <c r="F246" s="40"/>
      <c r="G246" s="4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5.5" customHeight="1">
      <c r="A247" s="35">
        <v>12.0</v>
      </c>
      <c r="B247" s="54" t="s">
        <v>249</v>
      </c>
      <c r="C247" s="37"/>
      <c r="D247" s="38"/>
      <c r="E247" s="39"/>
      <c r="F247" s="40"/>
      <c r="G247" s="4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5.5" customHeight="1">
      <c r="A248" s="35">
        <v>13.0</v>
      </c>
      <c r="B248" s="54" t="s">
        <v>250</v>
      </c>
      <c r="C248" s="37"/>
      <c r="D248" s="38"/>
      <c r="E248" s="39"/>
      <c r="F248" s="40"/>
      <c r="G248" s="4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5.5" customHeight="1">
      <c r="A249" s="35">
        <v>14.0</v>
      </c>
      <c r="B249" s="54" t="s">
        <v>251</v>
      </c>
      <c r="C249" s="37"/>
      <c r="D249" s="38"/>
      <c r="E249" s="39"/>
      <c r="F249" s="40"/>
      <c r="G249" s="4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5.5" customHeight="1">
      <c r="A250" s="43" t="s">
        <v>55</v>
      </c>
      <c r="B250" s="37"/>
      <c r="C250" s="37"/>
      <c r="D250" s="37"/>
      <c r="E250" s="44"/>
      <c r="F250" s="48" t="str">
        <f>IF(COUNT(E236:E249)=0,"N/A",SUM((E236:E249))/(COUNT((E236:E249))*2))</f>
        <v>N/A</v>
      </c>
      <c r="G250" s="4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5.5" customHeight="1">
      <c r="A251" s="41" t="s">
        <v>252</v>
      </c>
      <c r="B251" s="37"/>
      <c r="C251" s="37"/>
      <c r="D251" s="37"/>
      <c r="E251" s="37"/>
      <c r="F251" s="42"/>
      <c r="G251" s="4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5.5" customHeight="1">
      <c r="A252" s="35">
        <v>1.0</v>
      </c>
      <c r="B252" s="36" t="s">
        <v>253</v>
      </c>
      <c r="C252" s="37"/>
      <c r="D252" s="38"/>
      <c r="E252" s="39"/>
      <c r="F252" s="40"/>
      <c r="G252" s="4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5.5" customHeight="1">
      <c r="A253" s="35">
        <v>2.0</v>
      </c>
      <c r="B253" s="36" t="s">
        <v>254</v>
      </c>
      <c r="C253" s="37"/>
      <c r="D253" s="38"/>
      <c r="E253" s="39"/>
      <c r="F253" s="40"/>
      <c r="G253" s="4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5.5" customHeight="1">
      <c r="A254" s="35">
        <v>3.0</v>
      </c>
      <c r="B254" s="36" t="s">
        <v>255</v>
      </c>
      <c r="C254" s="37"/>
      <c r="D254" s="38"/>
      <c r="E254" s="39"/>
      <c r="F254" s="40"/>
      <c r="G254" s="4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5.5" customHeight="1">
      <c r="A255" s="35">
        <v>4.0</v>
      </c>
      <c r="B255" s="36" t="s">
        <v>256</v>
      </c>
      <c r="C255" s="37"/>
      <c r="D255" s="38"/>
      <c r="E255" s="39"/>
      <c r="F255" s="40"/>
      <c r="G255" s="4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5.5" customHeight="1">
      <c r="A256" s="35">
        <v>5.0</v>
      </c>
      <c r="B256" s="36" t="s">
        <v>257</v>
      </c>
      <c r="C256" s="37"/>
      <c r="D256" s="38"/>
      <c r="E256" s="39"/>
      <c r="F256" s="40"/>
      <c r="G256" s="4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5.5" customHeight="1">
      <c r="A257" s="35">
        <v>6.0</v>
      </c>
      <c r="B257" s="36" t="s">
        <v>258</v>
      </c>
      <c r="C257" s="37"/>
      <c r="D257" s="38"/>
      <c r="E257" s="39"/>
      <c r="F257" s="40"/>
      <c r="G257" s="4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90.75" customHeight="1">
      <c r="A258" s="35">
        <v>7.0</v>
      </c>
      <c r="B258" s="36" t="s">
        <v>259</v>
      </c>
      <c r="C258" s="37"/>
      <c r="D258" s="38"/>
      <c r="E258" s="39"/>
      <c r="F258" s="40" t="s">
        <v>260</v>
      </c>
      <c r="G258" s="4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5.5" customHeight="1">
      <c r="A259" s="35">
        <v>8.0</v>
      </c>
      <c r="B259" s="36" t="s">
        <v>261</v>
      </c>
      <c r="C259" s="37"/>
      <c r="D259" s="38"/>
      <c r="E259" s="39"/>
      <c r="F259" s="40"/>
      <c r="G259" s="4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5.5" customHeight="1">
      <c r="A260" s="35">
        <v>9.0</v>
      </c>
      <c r="B260" s="36" t="s">
        <v>262</v>
      </c>
      <c r="C260" s="37"/>
      <c r="D260" s="38"/>
      <c r="E260" s="39"/>
      <c r="F260" s="40"/>
      <c r="G260" s="4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5.5" customHeight="1">
      <c r="A261" s="35">
        <v>10.0</v>
      </c>
      <c r="B261" s="36" t="s">
        <v>263</v>
      </c>
      <c r="C261" s="37"/>
      <c r="D261" s="38"/>
      <c r="E261" s="39"/>
      <c r="F261" s="40"/>
      <c r="G261" s="4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5.5" customHeight="1">
      <c r="A262" s="43" t="s">
        <v>55</v>
      </c>
      <c r="B262" s="37"/>
      <c r="C262" s="37"/>
      <c r="D262" s="37"/>
      <c r="E262" s="44"/>
      <c r="F262" s="48" t="str">
        <f>IF(COUNT(E252:E261)=0,"N/A",SUM((E252:E261))/(COUNT((E252:E261))*2))</f>
        <v>N/A</v>
      </c>
      <c r="G262" s="4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5.5" customHeight="1">
      <c r="A263" s="41" t="s">
        <v>264</v>
      </c>
      <c r="B263" s="37"/>
      <c r="C263" s="37"/>
      <c r="D263" s="37"/>
      <c r="E263" s="37"/>
      <c r="F263" s="42"/>
      <c r="G263" s="4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3.0" customHeight="1">
      <c r="A264" s="35">
        <v>1.0</v>
      </c>
      <c r="B264" s="55" t="s">
        <v>265</v>
      </c>
      <c r="C264" s="37"/>
      <c r="D264" s="38"/>
      <c r="E264" s="39"/>
      <c r="F264" s="40"/>
      <c r="G264" s="4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5.5" customHeight="1">
      <c r="A265" s="35">
        <v>2.0</v>
      </c>
      <c r="B265" s="36" t="s">
        <v>266</v>
      </c>
      <c r="C265" s="37"/>
      <c r="D265" s="38"/>
      <c r="E265" s="39"/>
      <c r="F265" s="40"/>
      <c r="G265" s="4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5.5" customHeight="1">
      <c r="A266" s="35">
        <v>3.0</v>
      </c>
      <c r="B266" s="36" t="s">
        <v>267</v>
      </c>
      <c r="C266" s="37"/>
      <c r="D266" s="38"/>
      <c r="E266" s="39"/>
      <c r="F266" s="40"/>
      <c r="G266" s="4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5.5" customHeight="1">
      <c r="A267" s="35">
        <v>4.0</v>
      </c>
      <c r="B267" s="36" t="s">
        <v>268</v>
      </c>
      <c r="C267" s="37"/>
      <c r="D267" s="38"/>
      <c r="E267" s="39"/>
      <c r="F267" s="40"/>
      <c r="G267" s="4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5.5" customHeight="1">
      <c r="A268" s="43" t="s">
        <v>101</v>
      </c>
      <c r="B268" s="37"/>
      <c r="C268" s="37"/>
      <c r="D268" s="37"/>
      <c r="E268" s="44"/>
      <c r="F268" s="48" t="str">
        <f>IF(COUNT(E264:E267)=0,"N/A",SUM((E264:E267))/(COUNT((E264:E267))*2))</f>
        <v>N/A</v>
      </c>
      <c r="G268" s="4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5.5" customHeight="1">
      <c r="A269" s="41" t="s">
        <v>269</v>
      </c>
      <c r="B269" s="37"/>
      <c r="C269" s="37"/>
      <c r="D269" s="37"/>
      <c r="E269" s="37"/>
      <c r="F269" s="42"/>
      <c r="G269" s="4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5.5" customHeight="1">
      <c r="A270" s="41" t="s">
        <v>270</v>
      </c>
      <c r="B270" s="37"/>
      <c r="C270" s="37"/>
      <c r="D270" s="37"/>
      <c r="E270" s="37"/>
      <c r="F270" s="42"/>
      <c r="G270" s="4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1.5" customHeight="1">
      <c r="A271" s="35">
        <v>1.0</v>
      </c>
      <c r="B271" s="36" t="s">
        <v>271</v>
      </c>
      <c r="C271" s="37"/>
      <c r="D271" s="38"/>
      <c r="E271" s="39"/>
      <c r="F271" s="40"/>
      <c r="G271" s="4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9.25" customHeight="1">
      <c r="A272" s="35">
        <v>2.0</v>
      </c>
      <c r="B272" s="36" t="s">
        <v>272</v>
      </c>
      <c r="C272" s="37"/>
      <c r="D272" s="38"/>
      <c r="E272" s="39"/>
      <c r="F272" s="40"/>
      <c r="G272" s="4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16.25" customHeight="1">
      <c r="A273" s="35">
        <v>3.0</v>
      </c>
      <c r="B273" s="36" t="s">
        <v>273</v>
      </c>
      <c r="C273" s="37"/>
      <c r="D273" s="38"/>
      <c r="E273" s="39"/>
      <c r="F273" s="40"/>
      <c r="G273" s="4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5.5" customHeight="1">
      <c r="A274" s="35">
        <v>4.0</v>
      </c>
      <c r="B274" s="36" t="s">
        <v>274</v>
      </c>
      <c r="C274" s="37"/>
      <c r="D274" s="38"/>
      <c r="E274" s="39"/>
      <c r="F274" s="40"/>
      <c r="G274" s="4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5.5" customHeight="1">
      <c r="A275" s="35">
        <v>5.0</v>
      </c>
      <c r="B275" s="36" t="s">
        <v>275</v>
      </c>
      <c r="C275" s="37"/>
      <c r="D275" s="38"/>
      <c r="E275" s="39"/>
      <c r="F275" s="40"/>
      <c r="G275" s="4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5.5" customHeight="1">
      <c r="A276" s="35">
        <v>6.0</v>
      </c>
      <c r="B276" s="36" t="s">
        <v>276</v>
      </c>
      <c r="C276" s="37"/>
      <c r="D276" s="38"/>
      <c r="E276" s="39"/>
      <c r="F276" s="40"/>
      <c r="G276" s="4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5.5" customHeight="1">
      <c r="A277" s="35">
        <v>7.0</v>
      </c>
      <c r="B277" s="36" t="s">
        <v>277</v>
      </c>
      <c r="C277" s="37"/>
      <c r="D277" s="38"/>
      <c r="E277" s="39"/>
      <c r="F277" s="40" t="s">
        <v>278</v>
      </c>
      <c r="G277" s="4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5.5" customHeight="1">
      <c r="A278" s="35">
        <v>8.0</v>
      </c>
      <c r="B278" s="36" t="s">
        <v>279</v>
      </c>
      <c r="C278" s="37"/>
      <c r="D278" s="38"/>
      <c r="E278" s="39"/>
      <c r="F278" s="40"/>
      <c r="G278" s="4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5.5" customHeight="1">
      <c r="A279" s="35">
        <v>9.0</v>
      </c>
      <c r="B279" s="36" t="s">
        <v>280</v>
      </c>
      <c r="C279" s="37"/>
      <c r="D279" s="38"/>
      <c r="E279" s="39"/>
      <c r="F279" s="40"/>
      <c r="G279" s="4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5.5" customHeight="1">
      <c r="A280" s="35">
        <v>10.0</v>
      </c>
      <c r="B280" s="36" t="s">
        <v>281</v>
      </c>
      <c r="C280" s="37"/>
      <c r="D280" s="38"/>
      <c r="E280" s="39"/>
      <c r="F280" s="40"/>
      <c r="G280" s="4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01.25" customHeight="1">
      <c r="A281" s="35">
        <v>11.0</v>
      </c>
      <c r="B281" s="56" t="s">
        <v>282</v>
      </c>
      <c r="C281" s="37"/>
      <c r="D281" s="38"/>
      <c r="E281" s="39"/>
      <c r="F281" s="40"/>
      <c r="G281" s="4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3.5" customHeight="1">
      <c r="A282" s="35">
        <v>12.0</v>
      </c>
      <c r="B282" s="50" t="s">
        <v>283</v>
      </c>
      <c r="C282" s="37"/>
      <c r="D282" s="38"/>
      <c r="E282" s="39"/>
      <c r="F282" s="40" t="s">
        <v>284</v>
      </c>
      <c r="G282" s="4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5.5" customHeight="1">
      <c r="A283" s="35">
        <v>13.0</v>
      </c>
      <c r="B283" s="50" t="s">
        <v>285</v>
      </c>
      <c r="C283" s="37"/>
      <c r="D283" s="38"/>
      <c r="E283" s="39"/>
      <c r="F283" s="40"/>
      <c r="G283" s="4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5.5" customHeight="1">
      <c r="A284" s="41" t="s">
        <v>286</v>
      </c>
      <c r="B284" s="37"/>
      <c r="C284" s="37"/>
      <c r="D284" s="37"/>
      <c r="E284" s="37"/>
      <c r="F284" s="42"/>
      <c r="G284" s="4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5.5" customHeight="1">
      <c r="A285" s="35">
        <v>14.0</v>
      </c>
      <c r="B285" s="36" t="s">
        <v>287</v>
      </c>
      <c r="C285" s="37"/>
      <c r="D285" s="38"/>
      <c r="E285" s="39"/>
      <c r="F285" s="40"/>
      <c r="G285" s="4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5.5" customHeight="1">
      <c r="A286" s="35">
        <v>15.0</v>
      </c>
      <c r="B286" s="36" t="s">
        <v>288</v>
      </c>
      <c r="C286" s="37"/>
      <c r="D286" s="38"/>
      <c r="E286" s="39"/>
      <c r="F286" s="40"/>
      <c r="G286" s="4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90.0" customHeight="1">
      <c r="A287" s="35">
        <v>16.0</v>
      </c>
      <c r="B287" s="36" t="s">
        <v>289</v>
      </c>
      <c r="C287" s="37"/>
      <c r="D287" s="38"/>
      <c r="E287" s="39"/>
      <c r="F287" s="40"/>
      <c r="G287" s="4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02.0" customHeight="1">
      <c r="A288" s="35">
        <v>17.0</v>
      </c>
      <c r="B288" s="36" t="s">
        <v>290</v>
      </c>
      <c r="C288" s="37"/>
      <c r="D288" s="38"/>
      <c r="E288" s="39"/>
      <c r="F288" s="40"/>
      <c r="G288" s="4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5.5" customHeight="1">
      <c r="A289" s="35">
        <v>18.0</v>
      </c>
      <c r="B289" s="36" t="s">
        <v>291</v>
      </c>
      <c r="C289" s="37"/>
      <c r="D289" s="38"/>
      <c r="E289" s="39"/>
      <c r="F289" s="40"/>
      <c r="G289" s="4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5.5" customHeight="1">
      <c r="A290" s="35">
        <v>19.0</v>
      </c>
      <c r="B290" s="36" t="s">
        <v>292</v>
      </c>
      <c r="C290" s="37"/>
      <c r="D290" s="38"/>
      <c r="E290" s="39"/>
      <c r="F290" s="40"/>
      <c r="G290" s="4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5.5" customHeight="1">
      <c r="A291" s="43" t="s">
        <v>55</v>
      </c>
      <c r="B291" s="37"/>
      <c r="C291" s="37"/>
      <c r="D291" s="37"/>
      <c r="E291" s="44"/>
      <c r="F291" s="48" t="str">
        <f>IF(COUNT(E271:E290)=0,"N/A",SUM((E271:E290))/(COUNT((E271:E290))*2))</f>
        <v>N/A</v>
      </c>
      <c r="G291" s="4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5.5" customHeight="1">
      <c r="A292" s="41" t="s">
        <v>293</v>
      </c>
      <c r="B292" s="37"/>
      <c r="C292" s="37"/>
      <c r="D292" s="37"/>
      <c r="E292" s="37"/>
      <c r="F292" s="42"/>
      <c r="G292" s="4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54.0" customHeight="1">
      <c r="A293" s="35">
        <v>1.0</v>
      </c>
      <c r="B293" s="36" t="s">
        <v>294</v>
      </c>
      <c r="C293" s="37"/>
      <c r="D293" s="38"/>
      <c r="E293" s="39"/>
      <c r="F293" s="40"/>
      <c r="G293" s="4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5.5" customHeight="1">
      <c r="A294" s="35">
        <v>2.0</v>
      </c>
      <c r="B294" s="36" t="s">
        <v>295</v>
      </c>
      <c r="C294" s="37"/>
      <c r="D294" s="38"/>
      <c r="E294" s="39"/>
      <c r="F294" s="40"/>
      <c r="G294" s="4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5.5" customHeight="1">
      <c r="A295" s="35">
        <v>3.0</v>
      </c>
      <c r="B295" s="36" t="s">
        <v>296</v>
      </c>
      <c r="C295" s="37"/>
      <c r="D295" s="38"/>
      <c r="E295" s="39"/>
      <c r="F295" s="40"/>
      <c r="G295" s="4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04.25" customHeight="1">
      <c r="A296" s="35">
        <v>4.0</v>
      </c>
      <c r="B296" s="36" t="s">
        <v>297</v>
      </c>
      <c r="C296" s="37"/>
      <c r="D296" s="38"/>
      <c r="E296" s="39"/>
      <c r="F296" s="40"/>
      <c r="G296" s="4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5.5" customHeight="1">
      <c r="A297" s="41" t="s">
        <v>298</v>
      </c>
      <c r="B297" s="37"/>
      <c r="C297" s="37"/>
      <c r="D297" s="37"/>
      <c r="E297" s="37"/>
      <c r="F297" s="42"/>
      <c r="G297" s="4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55.5" customHeight="1">
      <c r="A298" s="35">
        <v>5.0</v>
      </c>
      <c r="B298" s="36" t="s">
        <v>299</v>
      </c>
      <c r="C298" s="37"/>
      <c r="D298" s="38"/>
      <c r="E298" s="39"/>
      <c r="F298" s="40"/>
      <c r="G298" s="4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4.25" customHeight="1">
      <c r="A299" s="35">
        <v>6.0</v>
      </c>
      <c r="B299" s="36" t="s">
        <v>300</v>
      </c>
      <c r="C299" s="37"/>
      <c r="D299" s="38"/>
      <c r="E299" s="39"/>
      <c r="F299" s="40"/>
      <c r="G299" s="4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5.5" customHeight="1">
      <c r="A300" s="41" t="s">
        <v>301</v>
      </c>
      <c r="B300" s="37"/>
      <c r="C300" s="37"/>
      <c r="D300" s="37"/>
      <c r="E300" s="37"/>
      <c r="F300" s="42"/>
      <c r="G300" s="4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5.5" customHeight="1">
      <c r="A301" s="35">
        <v>7.0</v>
      </c>
      <c r="B301" s="36" t="s">
        <v>302</v>
      </c>
      <c r="C301" s="37"/>
      <c r="D301" s="38"/>
      <c r="E301" s="39"/>
      <c r="F301" s="40"/>
      <c r="G301" s="4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5.5" customHeight="1">
      <c r="A302" s="35">
        <v>8.0</v>
      </c>
      <c r="B302" s="36" t="s">
        <v>303</v>
      </c>
      <c r="C302" s="37"/>
      <c r="D302" s="38"/>
      <c r="E302" s="39"/>
      <c r="F302" s="40"/>
      <c r="G302" s="4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95.25" customHeight="1">
      <c r="A303" s="35">
        <v>9.0</v>
      </c>
      <c r="B303" s="36" t="s">
        <v>304</v>
      </c>
      <c r="C303" s="37"/>
      <c r="D303" s="38"/>
      <c r="E303" s="39"/>
      <c r="F303" s="40"/>
      <c r="G303" s="4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5.5" customHeight="1">
      <c r="A304" s="35">
        <v>10.0</v>
      </c>
      <c r="B304" s="36" t="s">
        <v>305</v>
      </c>
      <c r="C304" s="37"/>
      <c r="D304" s="38"/>
      <c r="E304" s="39"/>
      <c r="F304" s="40" t="s">
        <v>306</v>
      </c>
      <c r="G304" s="4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5.5" customHeight="1">
      <c r="A305" s="35">
        <v>11.0</v>
      </c>
      <c r="B305" s="36" t="s">
        <v>307</v>
      </c>
      <c r="C305" s="37"/>
      <c r="D305" s="38"/>
      <c r="E305" s="39"/>
      <c r="F305" s="40"/>
      <c r="G305" s="4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5.5" customHeight="1">
      <c r="A306" s="41" t="s">
        <v>308</v>
      </c>
      <c r="B306" s="37"/>
      <c r="C306" s="37"/>
      <c r="D306" s="37"/>
      <c r="E306" s="37"/>
      <c r="F306" s="42"/>
      <c r="G306" s="4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6.0" customHeight="1">
      <c r="A307" s="35">
        <v>12.0</v>
      </c>
      <c r="B307" s="36" t="s">
        <v>309</v>
      </c>
      <c r="C307" s="37"/>
      <c r="D307" s="38"/>
      <c r="E307" s="39"/>
      <c r="F307" s="40"/>
      <c r="G307" s="4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5.5" customHeight="1">
      <c r="A308" s="35">
        <v>13.0</v>
      </c>
      <c r="B308" s="36" t="s">
        <v>310</v>
      </c>
      <c r="C308" s="37"/>
      <c r="D308" s="38"/>
      <c r="E308" s="39"/>
      <c r="F308" s="40"/>
      <c r="G308" s="4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5.5" customHeight="1">
      <c r="A309" s="35">
        <v>14.0</v>
      </c>
      <c r="B309" s="36" t="s">
        <v>311</v>
      </c>
      <c r="C309" s="37"/>
      <c r="D309" s="38"/>
      <c r="E309" s="39"/>
      <c r="F309" s="40"/>
      <c r="G309" s="4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5.5" customHeight="1">
      <c r="A310" s="35">
        <v>15.0</v>
      </c>
      <c r="B310" s="36" t="s">
        <v>312</v>
      </c>
      <c r="C310" s="37"/>
      <c r="D310" s="38"/>
      <c r="E310" s="39"/>
      <c r="F310" s="40"/>
      <c r="G310" s="4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5.5" customHeight="1">
      <c r="A311" s="35">
        <v>16.0</v>
      </c>
      <c r="B311" s="36" t="s">
        <v>313</v>
      </c>
      <c r="C311" s="37"/>
      <c r="D311" s="38"/>
      <c r="E311" s="39"/>
      <c r="F311" s="40"/>
      <c r="G311" s="4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5.5" customHeight="1">
      <c r="A312" s="35">
        <v>17.0</v>
      </c>
      <c r="B312" s="36" t="s">
        <v>314</v>
      </c>
      <c r="C312" s="37"/>
      <c r="D312" s="38"/>
      <c r="E312" s="39"/>
      <c r="F312" s="40" t="s">
        <v>315</v>
      </c>
      <c r="G312" s="4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5.5" customHeight="1">
      <c r="A313" s="35">
        <v>18.0</v>
      </c>
      <c r="B313" s="36" t="s">
        <v>316</v>
      </c>
      <c r="C313" s="37"/>
      <c r="D313" s="38"/>
      <c r="E313" s="39"/>
      <c r="F313" s="40"/>
      <c r="G313" s="4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5.5" customHeight="1">
      <c r="A314" s="35">
        <v>19.0</v>
      </c>
      <c r="B314" s="36" t="s">
        <v>317</v>
      </c>
      <c r="C314" s="37"/>
      <c r="D314" s="38"/>
      <c r="E314" s="39"/>
      <c r="F314" s="40"/>
      <c r="G314" s="4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5.5" customHeight="1">
      <c r="A315" s="35">
        <v>20.0</v>
      </c>
      <c r="B315" s="36" t="s">
        <v>318</v>
      </c>
      <c r="C315" s="37"/>
      <c r="D315" s="38"/>
      <c r="E315" s="39"/>
      <c r="F315" s="40"/>
      <c r="G315" s="4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5.5" customHeight="1">
      <c r="A316" s="35">
        <v>21.0</v>
      </c>
      <c r="B316" s="36" t="s">
        <v>319</v>
      </c>
      <c r="C316" s="37"/>
      <c r="D316" s="38"/>
      <c r="E316" s="39"/>
      <c r="F316" s="40"/>
      <c r="G316" s="4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5.5" customHeight="1">
      <c r="A317" s="35">
        <v>22.0</v>
      </c>
      <c r="B317" s="36" t="s">
        <v>320</v>
      </c>
      <c r="C317" s="37"/>
      <c r="D317" s="38"/>
      <c r="E317" s="39"/>
      <c r="F317" s="40"/>
      <c r="G317" s="4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5.5" customHeight="1">
      <c r="A318" s="35">
        <v>23.0</v>
      </c>
      <c r="B318" s="36" t="s">
        <v>321</v>
      </c>
      <c r="C318" s="37"/>
      <c r="D318" s="38"/>
      <c r="E318" s="39"/>
      <c r="F318" s="40" t="s">
        <v>322</v>
      </c>
      <c r="G318" s="4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5.5" customHeight="1">
      <c r="A319" s="35">
        <v>24.0</v>
      </c>
      <c r="B319" s="36" t="s">
        <v>323</v>
      </c>
      <c r="C319" s="37"/>
      <c r="D319" s="38"/>
      <c r="E319" s="39"/>
      <c r="F319" s="40"/>
      <c r="G319" s="4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5.5" customHeight="1">
      <c r="A320" s="43" t="s">
        <v>55</v>
      </c>
      <c r="B320" s="37"/>
      <c r="C320" s="37"/>
      <c r="D320" s="37"/>
      <c r="E320" s="44"/>
      <c r="F320" s="48" t="str">
        <f>IF(COUNT(E293:E319)=0,"N/A",SUM((E293:E319))/(COUNT((E293:E319))*2))</f>
        <v>N/A</v>
      </c>
      <c r="G320" s="4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5.5" customHeight="1">
      <c r="A321" s="41" t="s">
        <v>324</v>
      </c>
      <c r="B321" s="37"/>
      <c r="C321" s="37"/>
      <c r="D321" s="37"/>
      <c r="E321" s="37"/>
      <c r="F321" s="42"/>
      <c r="G321" s="4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5.5" customHeight="1">
      <c r="A322" s="35">
        <v>1.0</v>
      </c>
      <c r="B322" s="36" t="s">
        <v>325</v>
      </c>
      <c r="C322" s="37"/>
      <c r="D322" s="38"/>
      <c r="E322" s="39"/>
      <c r="F322" s="40" t="s">
        <v>31</v>
      </c>
      <c r="G322" s="4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5.5" customHeight="1">
      <c r="A323" s="35">
        <v>2.0</v>
      </c>
      <c r="B323" s="36" t="s">
        <v>326</v>
      </c>
      <c r="C323" s="37"/>
      <c r="D323" s="38"/>
      <c r="E323" s="39"/>
      <c r="F323" s="40"/>
      <c r="G323" s="4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5.5" customHeight="1">
      <c r="A324" s="35">
        <v>3.0</v>
      </c>
      <c r="B324" s="36" t="s">
        <v>327</v>
      </c>
      <c r="C324" s="37"/>
      <c r="D324" s="38"/>
      <c r="E324" s="39"/>
      <c r="F324" s="40"/>
      <c r="G324" s="4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4.25" customHeight="1">
      <c r="A325" s="35">
        <v>4.0</v>
      </c>
      <c r="B325" s="36" t="s">
        <v>328</v>
      </c>
      <c r="C325" s="37"/>
      <c r="D325" s="38"/>
      <c r="E325" s="39"/>
      <c r="F325" s="40"/>
      <c r="G325" s="4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5.5" customHeight="1">
      <c r="A326" s="35">
        <v>5.0</v>
      </c>
      <c r="B326" s="36" t="s">
        <v>329</v>
      </c>
      <c r="C326" s="37"/>
      <c r="D326" s="38"/>
      <c r="E326" s="39"/>
      <c r="F326" s="40"/>
      <c r="G326" s="4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5.5" customHeight="1">
      <c r="A327" s="35">
        <v>6.0</v>
      </c>
      <c r="B327" s="36" t="s">
        <v>330</v>
      </c>
      <c r="C327" s="37"/>
      <c r="D327" s="38"/>
      <c r="E327" s="39"/>
      <c r="F327" s="40"/>
      <c r="G327" s="4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5.5" customHeight="1">
      <c r="A328" s="35">
        <v>7.0</v>
      </c>
      <c r="B328" s="36" t="s">
        <v>331</v>
      </c>
      <c r="C328" s="37"/>
      <c r="D328" s="38"/>
      <c r="E328" s="39"/>
      <c r="F328" s="40"/>
      <c r="G328" s="4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5.5" customHeight="1">
      <c r="A329" s="35">
        <v>8.0</v>
      </c>
      <c r="B329" s="36" t="s">
        <v>332</v>
      </c>
      <c r="C329" s="37"/>
      <c r="D329" s="38"/>
      <c r="E329" s="39"/>
      <c r="F329" s="40"/>
      <c r="G329" s="4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8.0" customHeight="1">
      <c r="A330" s="35">
        <v>9.0</v>
      </c>
      <c r="B330" s="36" t="s">
        <v>333</v>
      </c>
      <c r="C330" s="37"/>
      <c r="D330" s="38"/>
      <c r="E330" s="39"/>
      <c r="F330" s="40"/>
      <c r="G330" s="4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5.5" customHeight="1">
      <c r="A331" s="35">
        <v>10.0</v>
      </c>
      <c r="B331" s="36" t="s">
        <v>334</v>
      </c>
      <c r="C331" s="37"/>
      <c r="D331" s="38"/>
      <c r="E331" s="39"/>
      <c r="F331" s="40"/>
      <c r="G331" s="4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5.5" customHeight="1">
      <c r="A332" s="35">
        <v>11.0</v>
      </c>
      <c r="B332" s="36" t="s">
        <v>335</v>
      </c>
      <c r="C332" s="37"/>
      <c r="D332" s="38"/>
      <c r="E332" s="39"/>
      <c r="F332" s="40"/>
      <c r="G332" s="4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59.25" customHeight="1">
      <c r="A333" s="35">
        <v>12.0</v>
      </c>
      <c r="B333" s="36" t="s">
        <v>336</v>
      </c>
      <c r="C333" s="37"/>
      <c r="D333" s="38"/>
      <c r="E333" s="39"/>
      <c r="F333" s="40"/>
      <c r="G333" s="4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5.5" customHeight="1">
      <c r="A334" s="35">
        <v>13.0</v>
      </c>
      <c r="B334" s="36" t="s">
        <v>337</v>
      </c>
      <c r="C334" s="37"/>
      <c r="D334" s="38"/>
      <c r="E334" s="39"/>
      <c r="F334" s="40"/>
      <c r="G334" s="4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99.75" customHeight="1">
      <c r="A335" s="35">
        <v>14.0</v>
      </c>
      <c r="B335" s="36" t="s">
        <v>338</v>
      </c>
      <c r="C335" s="37"/>
      <c r="D335" s="38"/>
      <c r="E335" s="39"/>
      <c r="F335" s="40"/>
      <c r="G335" s="4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9.0" customHeight="1">
      <c r="A336" s="35">
        <v>15.0</v>
      </c>
      <c r="B336" s="36" t="s">
        <v>339</v>
      </c>
      <c r="C336" s="37"/>
      <c r="D336" s="38"/>
      <c r="E336" s="39"/>
      <c r="F336" s="40"/>
      <c r="G336" s="4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02.75" customHeight="1">
      <c r="A337" s="35">
        <v>16.0</v>
      </c>
      <c r="B337" s="36" t="s">
        <v>340</v>
      </c>
      <c r="C337" s="37"/>
      <c r="D337" s="38"/>
      <c r="E337" s="39"/>
      <c r="F337" s="40"/>
      <c r="G337" s="4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9.0" customHeight="1">
      <c r="A338" s="35">
        <v>17.0</v>
      </c>
      <c r="B338" s="36" t="s">
        <v>341</v>
      </c>
      <c r="C338" s="37"/>
      <c r="D338" s="38"/>
      <c r="E338" s="39"/>
      <c r="F338" s="40"/>
      <c r="G338" s="4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5.5" customHeight="1">
      <c r="A339" s="35">
        <v>18.0</v>
      </c>
      <c r="B339" s="36" t="s">
        <v>342</v>
      </c>
      <c r="C339" s="37"/>
      <c r="D339" s="38"/>
      <c r="E339" s="39"/>
      <c r="F339" s="40"/>
      <c r="G339" s="4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5.5" customHeight="1">
      <c r="A340" s="35">
        <v>19.0</v>
      </c>
      <c r="B340" s="36" t="s">
        <v>343</v>
      </c>
      <c r="C340" s="37"/>
      <c r="D340" s="38"/>
      <c r="E340" s="39"/>
      <c r="F340" s="40"/>
      <c r="G340" s="4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5.5" customHeight="1">
      <c r="A341" s="35">
        <v>20.0</v>
      </c>
      <c r="B341" s="36" t="s">
        <v>344</v>
      </c>
      <c r="C341" s="37"/>
      <c r="D341" s="38"/>
      <c r="E341" s="39"/>
      <c r="F341" s="40"/>
      <c r="G341" s="4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5.5" customHeight="1">
      <c r="A342" s="35">
        <v>21.0</v>
      </c>
      <c r="B342" s="36" t="s">
        <v>345</v>
      </c>
      <c r="C342" s="37"/>
      <c r="D342" s="38"/>
      <c r="E342" s="39"/>
      <c r="F342" s="40"/>
      <c r="G342" s="4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5.5" customHeight="1">
      <c r="A343" s="35">
        <v>22.0</v>
      </c>
      <c r="B343" s="36" t="s">
        <v>346</v>
      </c>
      <c r="C343" s="37"/>
      <c r="D343" s="38"/>
      <c r="E343" s="39"/>
      <c r="F343" s="40"/>
      <c r="G343" s="4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9.0" customHeight="1">
      <c r="A344" s="35">
        <v>23.0</v>
      </c>
      <c r="B344" s="36" t="s">
        <v>347</v>
      </c>
      <c r="C344" s="37"/>
      <c r="D344" s="38"/>
      <c r="E344" s="39"/>
      <c r="F344" s="40"/>
      <c r="G344" s="4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5.5" customHeight="1">
      <c r="A345" s="43" t="s">
        <v>55</v>
      </c>
      <c r="B345" s="37"/>
      <c r="C345" s="37"/>
      <c r="D345" s="37"/>
      <c r="E345" s="44"/>
      <c r="F345" s="48" t="str">
        <f>IF(COUNT(E322:E344)=0,"N/A",SUM((E322:E344))/(COUNT((E322:E344))*2))</f>
        <v>N/A</v>
      </c>
      <c r="G345" s="4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5.5" customHeight="1">
      <c r="A346" s="41" t="s">
        <v>348</v>
      </c>
      <c r="B346" s="37"/>
      <c r="C346" s="37"/>
      <c r="D346" s="37"/>
      <c r="E346" s="37"/>
      <c r="F346" s="42"/>
      <c r="G346" s="4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72.75" customHeight="1">
      <c r="A347" s="35">
        <v>1.0</v>
      </c>
      <c r="B347" s="36" t="s">
        <v>349</v>
      </c>
      <c r="C347" s="37"/>
      <c r="D347" s="38"/>
      <c r="E347" s="39"/>
      <c r="F347" s="40"/>
      <c r="G347" s="4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5.5" customHeight="1">
      <c r="A348" s="35">
        <v>2.0</v>
      </c>
      <c r="B348" s="36" t="s">
        <v>350</v>
      </c>
      <c r="C348" s="37"/>
      <c r="D348" s="38"/>
      <c r="E348" s="39"/>
      <c r="F348" s="40"/>
      <c r="G348" s="4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5.5" customHeight="1">
      <c r="A349" s="35">
        <v>3.0</v>
      </c>
      <c r="B349" s="36" t="s">
        <v>351</v>
      </c>
      <c r="C349" s="37"/>
      <c r="D349" s="38"/>
      <c r="E349" s="39"/>
      <c r="F349" s="40"/>
      <c r="G349" s="4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5.5" customHeight="1">
      <c r="A350" s="35">
        <v>4.0</v>
      </c>
      <c r="B350" s="36" t="s">
        <v>352</v>
      </c>
      <c r="C350" s="37"/>
      <c r="D350" s="38"/>
      <c r="E350" s="39"/>
      <c r="F350" s="40"/>
      <c r="G350" s="4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5.5" customHeight="1">
      <c r="A351" s="35">
        <v>5.0</v>
      </c>
      <c r="B351" s="36" t="s">
        <v>353</v>
      </c>
      <c r="C351" s="37"/>
      <c r="D351" s="38"/>
      <c r="E351" s="39"/>
      <c r="F351" s="40"/>
      <c r="G351" s="4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5.5" customHeight="1">
      <c r="A352" s="43" t="s">
        <v>55</v>
      </c>
      <c r="B352" s="37"/>
      <c r="C352" s="37"/>
      <c r="D352" s="37"/>
      <c r="E352" s="44"/>
      <c r="F352" s="48" t="str">
        <f>IF(COUNT(E347:E351)=0,"N/A",SUM((E347:E351))/(COUNT((E347:E351))*2))</f>
        <v>N/A</v>
      </c>
      <c r="G352" s="4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5.5" customHeight="1">
      <c r="A353" s="41" t="s">
        <v>354</v>
      </c>
      <c r="B353" s="37"/>
      <c r="C353" s="37"/>
      <c r="D353" s="37"/>
      <c r="E353" s="37"/>
      <c r="F353" s="42"/>
      <c r="G353" s="4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5.5" customHeight="1">
      <c r="A354" s="41" t="s">
        <v>355</v>
      </c>
      <c r="B354" s="37"/>
      <c r="C354" s="37"/>
      <c r="D354" s="37"/>
      <c r="E354" s="37"/>
      <c r="F354" s="42"/>
      <c r="G354" s="4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71.0" customHeight="1">
      <c r="A355" s="35">
        <v>1.0</v>
      </c>
      <c r="B355" s="36" t="s">
        <v>356</v>
      </c>
      <c r="C355" s="37"/>
      <c r="D355" s="38"/>
      <c r="E355" s="39"/>
      <c r="F355" s="40"/>
      <c r="G355" s="4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5.5" customHeight="1">
      <c r="A356" s="35">
        <v>2.0</v>
      </c>
      <c r="B356" s="36" t="s">
        <v>357</v>
      </c>
      <c r="C356" s="37"/>
      <c r="D356" s="38"/>
      <c r="E356" s="39"/>
      <c r="F356" s="40"/>
      <c r="G356" s="4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1.25" customHeight="1">
      <c r="A357" s="35">
        <v>3.0</v>
      </c>
      <c r="B357" s="36" t="s">
        <v>358</v>
      </c>
      <c r="C357" s="37"/>
      <c r="D357" s="38"/>
      <c r="E357" s="39"/>
      <c r="F357" s="40"/>
      <c r="G357" s="4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1.25" customHeight="1">
      <c r="A358" s="35">
        <v>4.0</v>
      </c>
      <c r="B358" s="36" t="s">
        <v>359</v>
      </c>
      <c r="C358" s="37"/>
      <c r="D358" s="38"/>
      <c r="E358" s="39"/>
      <c r="F358" s="40"/>
      <c r="G358" s="4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05.5" customHeight="1">
      <c r="A359" s="35">
        <v>5.0</v>
      </c>
      <c r="B359" s="36" t="s">
        <v>360</v>
      </c>
      <c r="C359" s="37"/>
      <c r="D359" s="38"/>
      <c r="E359" s="39"/>
      <c r="F359" s="40"/>
      <c r="G359" s="4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78.0" customHeight="1">
      <c r="A360" s="35">
        <v>6.0</v>
      </c>
      <c r="B360" s="36" t="s">
        <v>361</v>
      </c>
      <c r="C360" s="37"/>
      <c r="D360" s="38"/>
      <c r="E360" s="39"/>
      <c r="F360" s="40"/>
      <c r="G360" s="4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5.5" customHeight="1">
      <c r="A361" s="35">
        <v>7.0</v>
      </c>
      <c r="B361" s="36" t="s">
        <v>362</v>
      </c>
      <c r="C361" s="37"/>
      <c r="D361" s="38"/>
      <c r="E361" s="39"/>
      <c r="F361" s="40"/>
      <c r="G361" s="4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5.5" customHeight="1">
      <c r="A362" s="35">
        <v>8.0</v>
      </c>
      <c r="B362" s="36" t="s">
        <v>363</v>
      </c>
      <c r="C362" s="37"/>
      <c r="D362" s="38"/>
      <c r="E362" s="39"/>
      <c r="F362" s="40"/>
      <c r="G362" s="4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5.5" customHeight="1">
      <c r="A363" s="35">
        <v>9.0</v>
      </c>
      <c r="B363" s="36" t="s">
        <v>364</v>
      </c>
      <c r="C363" s="37"/>
      <c r="D363" s="38"/>
      <c r="E363" s="39"/>
      <c r="F363" s="40"/>
      <c r="G363" s="4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5.5" customHeight="1">
      <c r="A364" s="35">
        <v>10.0</v>
      </c>
      <c r="B364" s="36" t="s">
        <v>365</v>
      </c>
      <c r="C364" s="37"/>
      <c r="D364" s="38"/>
      <c r="E364" s="39"/>
      <c r="F364" s="40"/>
      <c r="G364" s="4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5.5" customHeight="1">
      <c r="A365" s="35">
        <v>11.0</v>
      </c>
      <c r="B365" s="36" t="s">
        <v>366</v>
      </c>
      <c r="C365" s="37"/>
      <c r="D365" s="38"/>
      <c r="E365" s="39"/>
      <c r="F365" s="40"/>
      <c r="G365" s="4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5.5" customHeight="1">
      <c r="A366" s="35">
        <v>12.0</v>
      </c>
      <c r="B366" s="36" t="s">
        <v>367</v>
      </c>
      <c r="C366" s="37"/>
      <c r="D366" s="38"/>
      <c r="E366" s="39"/>
      <c r="F366" s="40"/>
      <c r="G366" s="4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5.5" customHeight="1">
      <c r="A367" s="43" t="s">
        <v>55</v>
      </c>
      <c r="B367" s="37"/>
      <c r="C367" s="37"/>
      <c r="D367" s="37"/>
      <c r="E367" s="44"/>
      <c r="F367" s="48" t="str">
        <f>IF(COUNT(E355:E366)=0,"N/A",SUM((E355:E366))/(COUNT((E355:E366))*2))</f>
        <v>N/A</v>
      </c>
      <c r="G367" s="4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5.5" customHeight="1">
      <c r="A368" s="41" t="s">
        <v>368</v>
      </c>
      <c r="B368" s="37"/>
      <c r="C368" s="37"/>
      <c r="D368" s="37"/>
      <c r="E368" s="37"/>
      <c r="F368" s="42"/>
      <c r="G368" s="4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5.5" customHeight="1">
      <c r="A369" s="35">
        <v>1.0</v>
      </c>
      <c r="B369" s="36" t="s">
        <v>369</v>
      </c>
      <c r="C369" s="37"/>
      <c r="D369" s="38"/>
      <c r="E369" s="39"/>
      <c r="F369" s="40"/>
      <c r="G369" s="4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5.5" customHeight="1">
      <c r="A370" s="35">
        <v>2.0</v>
      </c>
      <c r="B370" s="36" t="s">
        <v>370</v>
      </c>
      <c r="C370" s="37"/>
      <c r="D370" s="38"/>
      <c r="E370" s="39"/>
      <c r="F370" s="40"/>
      <c r="G370" s="4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5.5" customHeight="1">
      <c r="A371" s="35">
        <v>3.0</v>
      </c>
      <c r="B371" s="36" t="s">
        <v>371</v>
      </c>
      <c r="C371" s="37"/>
      <c r="D371" s="38"/>
      <c r="E371" s="39"/>
      <c r="F371" s="40"/>
      <c r="G371" s="4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5.5" customHeight="1">
      <c r="A372" s="35">
        <v>4.0</v>
      </c>
      <c r="B372" s="36" t="s">
        <v>372</v>
      </c>
      <c r="C372" s="37"/>
      <c r="D372" s="38"/>
      <c r="E372" s="39"/>
      <c r="F372" s="40"/>
      <c r="G372" s="4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5.5" customHeight="1">
      <c r="A373" s="35">
        <v>5.0</v>
      </c>
      <c r="B373" s="36" t="s">
        <v>373</v>
      </c>
      <c r="C373" s="37"/>
      <c r="D373" s="38"/>
      <c r="E373" s="39"/>
      <c r="F373" s="40"/>
      <c r="G373" s="4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5.5" customHeight="1">
      <c r="A374" s="35">
        <v>6.0</v>
      </c>
      <c r="B374" s="36" t="s">
        <v>374</v>
      </c>
      <c r="C374" s="37"/>
      <c r="D374" s="38"/>
      <c r="E374" s="39"/>
      <c r="F374" s="40"/>
      <c r="G374" s="4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5.5" customHeight="1">
      <c r="A375" s="35">
        <v>7.0</v>
      </c>
      <c r="B375" s="36" t="s">
        <v>375</v>
      </c>
      <c r="C375" s="37"/>
      <c r="D375" s="38"/>
      <c r="E375" s="39"/>
      <c r="F375" s="40"/>
      <c r="G375" s="4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5.5" customHeight="1">
      <c r="A376" s="35">
        <v>8.0</v>
      </c>
      <c r="B376" s="36" t="s">
        <v>376</v>
      </c>
      <c r="C376" s="37"/>
      <c r="D376" s="38"/>
      <c r="E376" s="39"/>
      <c r="F376" s="40"/>
      <c r="G376" s="4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5.5" customHeight="1">
      <c r="A377" s="43" t="s">
        <v>101</v>
      </c>
      <c r="B377" s="37"/>
      <c r="C377" s="37"/>
      <c r="D377" s="37"/>
      <c r="E377" s="44"/>
      <c r="F377" s="48" t="str">
        <f>IF(COUNT(E369:E376)=0,"N/A",SUM((E369:E376))/(COUNT((E369:E376))*2))</f>
        <v>N/A</v>
      </c>
      <c r="G377" s="4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5.5" customHeight="1">
      <c r="A378" s="41" t="s">
        <v>377</v>
      </c>
      <c r="B378" s="37"/>
      <c r="C378" s="37"/>
      <c r="D378" s="37"/>
      <c r="E378" s="37"/>
      <c r="F378" s="42"/>
      <c r="G378" s="4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5.5" customHeight="1">
      <c r="A379" s="35">
        <v>1.0</v>
      </c>
      <c r="B379" s="36" t="s">
        <v>378</v>
      </c>
      <c r="C379" s="37"/>
      <c r="D379" s="38"/>
      <c r="E379" s="39"/>
      <c r="F379" s="40" t="s">
        <v>31</v>
      </c>
      <c r="G379" s="4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5.5" customHeight="1">
      <c r="A380" s="35">
        <v>2.0</v>
      </c>
      <c r="B380" s="36" t="s">
        <v>379</v>
      </c>
      <c r="C380" s="37"/>
      <c r="D380" s="38"/>
      <c r="E380" s="39"/>
      <c r="F380" s="40"/>
      <c r="G380" s="4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5.5" customHeight="1">
      <c r="A381" s="43" t="s">
        <v>101</v>
      </c>
      <c r="B381" s="37"/>
      <c r="C381" s="37"/>
      <c r="D381" s="37"/>
      <c r="E381" s="44"/>
      <c r="F381" s="48" t="str">
        <f>IF(COUNT(E379:E380)=0,"N/A",SUM((E379:E380))/(COUNT((E379:E380))*2))</f>
        <v>N/A</v>
      </c>
      <c r="G381" s="4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5.5" customHeight="1">
      <c r="A382" s="41" t="s">
        <v>380</v>
      </c>
      <c r="B382" s="37"/>
      <c r="C382" s="37"/>
      <c r="D382" s="37"/>
      <c r="E382" s="37"/>
      <c r="F382" s="42"/>
      <c r="G382" s="4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5.5" customHeight="1">
      <c r="A383" s="35">
        <v>1.0</v>
      </c>
      <c r="B383" s="36" t="s">
        <v>381</v>
      </c>
      <c r="C383" s="37"/>
      <c r="D383" s="38"/>
      <c r="E383" s="39"/>
      <c r="F383" s="40"/>
      <c r="G383" s="4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5.5" customHeight="1">
      <c r="A384" s="35">
        <v>2.0</v>
      </c>
      <c r="B384" s="36" t="s">
        <v>382</v>
      </c>
      <c r="C384" s="37"/>
      <c r="D384" s="38"/>
      <c r="E384" s="39"/>
      <c r="F384" s="40"/>
      <c r="G384" s="4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5.5" customHeight="1">
      <c r="A385" s="35">
        <v>3.0</v>
      </c>
      <c r="B385" s="36" t="s">
        <v>383</v>
      </c>
      <c r="C385" s="37"/>
      <c r="D385" s="38"/>
      <c r="E385" s="39"/>
      <c r="F385" s="40"/>
      <c r="G385" s="4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5.5" customHeight="1">
      <c r="A386" s="43" t="s">
        <v>101</v>
      </c>
      <c r="B386" s="37"/>
      <c r="C386" s="37"/>
      <c r="D386" s="37"/>
      <c r="E386" s="44"/>
      <c r="F386" s="48" t="str">
        <f>IF(COUNT(E383:E385)=0,"N/A",SUM((E383:E385))/(COUNT((E383:E385))*2))</f>
        <v>N/A</v>
      </c>
      <c r="G386" s="4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5.5" customHeight="1">
      <c r="A387" s="41" t="s">
        <v>384</v>
      </c>
      <c r="B387" s="37"/>
      <c r="C387" s="37"/>
      <c r="D387" s="37"/>
      <c r="E387" s="37"/>
      <c r="F387" s="42"/>
      <c r="G387" s="4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5.5" customHeight="1">
      <c r="A388" s="35">
        <v>1.0</v>
      </c>
      <c r="B388" s="36" t="s">
        <v>385</v>
      </c>
      <c r="C388" s="37"/>
      <c r="D388" s="38"/>
      <c r="E388" s="39"/>
      <c r="F388" s="40"/>
      <c r="G388" s="4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5.5" customHeight="1">
      <c r="A389" s="35">
        <v>2.0</v>
      </c>
      <c r="B389" s="36" t="s">
        <v>386</v>
      </c>
      <c r="C389" s="37"/>
      <c r="D389" s="38"/>
      <c r="E389" s="39"/>
      <c r="F389" s="40"/>
      <c r="G389" s="4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5.5" customHeight="1">
      <c r="A390" s="35">
        <v>3.0</v>
      </c>
      <c r="B390" s="36" t="s">
        <v>387</v>
      </c>
      <c r="C390" s="37"/>
      <c r="D390" s="38"/>
      <c r="E390" s="39"/>
      <c r="F390" s="40"/>
      <c r="G390" s="4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5.5" customHeight="1">
      <c r="A391" s="35">
        <v>4.0</v>
      </c>
      <c r="B391" s="36" t="s">
        <v>388</v>
      </c>
      <c r="C391" s="37"/>
      <c r="D391" s="38"/>
      <c r="E391" s="39"/>
      <c r="F391" s="40"/>
      <c r="G391" s="4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5.5" customHeight="1">
      <c r="A392" s="43" t="s">
        <v>101</v>
      </c>
      <c r="B392" s="37"/>
      <c r="C392" s="37"/>
      <c r="D392" s="37"/>
      <c r="E392" s="44"/>
      <c r="F392" s="48" t="str">
        <f>IF(COUNT(E388:E391)=0,"N/A",SUM((E388:E391))/(COUNT((E388:E391))*2))</f>
        <v>N/A</v>
      </c>
      <c r="G392" s="4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5.5" customHeight="1">
      <c r="A393" s="41" t="s">
        <v>389</v>
      </c>
      <c r="B393" s="37"/>
      <c r="C393" s="37"/>
      <c r="D393" s="37"/>
      <c r="E393" s="37"/>
      <c r="F393" s="42"/>
      <c r="G393" s="4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2.0" customHeight="1">
      <c r="A394" s="35">
        <v>1.0</v>
      </c>
      <c r="B394" s="36" t="s">
        <v>390</v>
      </c>
      <c r="C394" s="37"/>
      <c r="D394" s="38"/>
      <c r="E394" s="39"/>
      <c r="F394" s="40"/>
      <c r="G394" s="4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5.5" customHeight="1">
      <c r="A395" s="35">
        <v>2.0</v>
      </c>
      <c r="B395" s="36" t="s">
        <v>391</v>
      </c>
      <c r="C395" s="37"/>
      <c r="D395" s="38"/>
      <c r="E395" s="39"/>
      <c r="F395" s="40"/>
      <c r="G395" s="4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5.5" customHeight="1">
      <c r="A396" s="35">
        <v>3.0</v>
      </c>
      <c r="B396" s="36" t="s">
        <v>392</v>
      </c>
      <c r="C396" s="37"/>
      <c r="D396" s="38"/>
      <c r="E396" s="39"/>
      <c r="F396" s="40"/>
      <c r="G396" s="4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5.5" customHeight="1">
      <c r="A397" s="35">
        <v>4.0</v>
      </c>
      <c r="B397" s="36" t="s">
        <v>393</v>
      </c>
      <c r="C397" s="37"/>
      <c r="D397" s="38"/>
      <c r="E397" s="39"/>
      <c r="F397" s="40"/>
      <c r="G397" s="4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3.75" customHeight="1">
      <c r="A398" s="35">
        <v>5.0</v>
      </c>
      <c r="B398" s="36" t="s">
        <v>394</v>
      </c>
      <c r="C398" s="37"/>
      <c r="D398" s="38"/>
      <c r="E398" s="39"/>
      <c r="F398" s="40"/>
      <c r="G398" s="4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5.5" customHeight="1">
      <c r="A399" s="35">
        <v>6.0</v>
      </c>
      <c r="B399" s="36" t="s">
        <v>395</v>
      </c>
      <c r="C399" s="37"/>
      <c r="D399" s="38"/>
      <c r="E399" s="39"/>
      <c r="F399" s="40"/>
      <c r="G399" s="4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5.5" customHeight="1">
      <c r="A400" s="35">
        <v>7.0</v>
      </c>
      <c r="B400" s="36" t="s">
        <v>396</v>
      </c>
      <c r="C400" s="37"/>
      <c r="D400" s="38"/>
      <c r="E400" s="39"/>
      <c r="F400" s="40"/>
      <c r="G400" s="4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5.5" customHeight="1">
      <c r="A401" s="35">
        <v>8.0</v>
      </c>
      <c r="B401" s="36" t="s">
        <v>397</v>
      </c>
      <c r="C401" s="37"/>
      <c r="D401" s="38"/>
      <c r="E401" s="39"/>
      <c r="F401" s="40"/>
      <c r="G401" s="4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5.5" customHeight="1">
      <c r="A402" s="35">
        <v>9.0</v>
      </c>
      <c r="B402" s="36" t="s">
        <v>398</v>
      </c>
      <c r="C402" s="37"/>
      <c r="D402" s="38"/>
      <c r="E402" s="39"/>
      <c r="F402" s="40"/>
      <c r="G402" s="4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5.5" customHeight="1">
      <c r="A403" s="35">
        <v>10.0</v>
      </c>
      <c r="B403" s="36" t="s">
        <v>399</v>
      </c>
      <c r="C403" s="37"/>
      <c r="D403" s="38"/>
      <c r="E403" s="39"/>
      <c r="F403" s="40"/>
      <c r="G403" s="4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5.5" customHeight="1">
      <c r="A404" s="35">
        <v>11.0</v>
      </c>
      <c r="B404" s="36" t="s">
        <v>400</v>
      </c>
      <c r="C404" s="37"/>
      <c r="D404" s="38"/>
      <c r="E404" s="39"/>
      <c r="F404" s="40"/>
      <c r="G404" s="4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5.5" customHeight="1">
      <c r="A405" s="35">
        <v>12.0</v>
      </c>
      <c r="B405" s="36" t="s">
        <v>401</v>
      </c>
      <c r="C405" s="37"/>
      <c r="D405" s="38"/>
      <c r="E405" s="39"/>
      <c r="F405" s="40"/>
      <c r="G405" s="4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5.5" customHeight="1">
      <c r="A406" s="43" t="s">
        <v>101</v>
      </c>
      <c r="B406" s="37"/>
      <c r="C406" s="37"/>
      <c r="D406" s="37"/>
      <c r="E406" s="44"/>
      <c r="F406" s="48" t="str">
        <f>IF(COUNT(E394:E405)=0,"N/A",SUM((E394:E405))/(COUNT((E394:E405))*2))</f>
        <v>N/A</v>
      </c>
      <c r="G406" s="4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5.5" customHeight="1">
      <c r="A407" s="41" t="s">
        <v>402</v>
      </c>
      <c r="B407" s="37"/>
      <c r="C407" s="37"/>
      <c r="D407" s="37"/>
      <c r="E407" s="37"/>
      <c r="F407" s="42"/>
      <c r="G407" s="4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5.5" customHeight="1">
      <c r="A408" s="35">
        <v>1.0</v>
      </c>
      <c r="B408" s="36" t="s">
        <v>403</v>
      </c>
      <c r="C408" s="37"/>
      <c r="D408" s="38"/>
      <c r="E408" s="39"/>
      <c r="F408" s="40"/>
      <c r="G408" s="4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5.5" customHeight="1">
      <c r="A409" s="35">
        <v>2.0</v>
      </c>
      <c r="B409" s="36" t="s">
        <v>404</v>
      </c>
      <c r="C409" s="37"/>
      <c r="D409" s="38"/>
      <c r="E409" s="39"/>
      <c r="F409" s="40"/>
      <c r="G409" s="4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5.5" customHeight="1">
      <c r="A410" s="35">
        <v>3.0</v>
      </c>
      <c r="B410" s="36" t="s">
        <v>405</v>
      </c>
      <c r="C410" s="37"/>
      <c r="D410" s="38"/>
      <c r="E410" s="39"/>
      <c r="F410" s="40"/>
      <c r="G410" s="4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5.5" customHeight="1">
      <c r="A411" s="35">
        <v>4.0</v>
      </c>
      <c r="B411" s="36" t="s">
        <v>406</v>
      </c>
      <c r="C411" s="37"/>
      <c r="D411" s="38"/>
      <c r="E411" s="39"/>
      <c r="F411" s="40"/>
      <c r="G411" s="4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5.5" customHeight="1">
      <c r="A412" s="35">
        <v>5.0</v>
      </c>
      <c r="B412" s="36" t="s">
        <v>407</v>
      </c>
      <c r="C412" s="37"/>
      <c r="D412" s="38"/>
      <c r="E412" s="39"/>
      <c r="F412" s="40"/>
      <c r="G412" s="4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5.5" customHeight="1">
      <c r="A413" s="35">
        <v>6.0</v>
      </c>
      <c r="B413" s="36" t="s">
        <v>408</v>
      </c>
      <c r="C413" s="37"/>
      <c r="D413" s="38"/>
      <c r="E413" s="39"/>
      <c r="F413" s="40"/>
      <c r="G413" s="4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5.5" customHeight="1">
      <c r="A414" s="35">
        <v>7.0</v>
      </c>
      <c r="B414" s="36" t="s">
        <v>409</v>
      </c>
      <c r="C414" s="37"/>
      <c r="D414" s="38"/>
      <c r="E414" s="39"/>
      <c r="F414" s="40"/>
      <c r="G414" s="4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5.5" customHeight="1">
      <c r="A415" s="35">
        <v>8.0</v>
      </c>
      <c r="B415" s="36" t="s">
        <v>410</v>
      </c>
      <c r="C415" s="37"/>
      <c r="D415" s="38"/>
      <c r="E415" s="39"/>
      <c r="F415" s="40"/>
      <c r="G415" s="4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84.75" customHeight="1">
      <c r="A416" s="35">
        <v>9.0</v>
      </c>
      <c r="B416" s="36" t="s">
        <v>411</v>
      </c>
      <c r="C416" s="37"/>
      <c r="D416" s="38"/>
      <c r="E416" s="39"/>
      <c r="F416" s="40"/>
      <c r="G416" s="4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5.5" customHeight="1">
      <c r="A417" s="35">
        <v>10.0</v>
      </c>
      <c r="B417" s="36" t="s">
        <v>412</v>
      </c>
      <c r="C417" s="37"/>
      <c r="D417" s="38"/>
      <c r="E417" s="39"/>
      <c r="F417" s="40"/>
      <c r="G417" s="4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5.5" customHeight="1">
      <c r="A418" s="35">
        <v>11.0</v>
      </c>
      <c r="B418" s="36" t="s">
        <v>413</v>
      </c>
      <c r="C418" s="37"/>
      <c r="D418" s="38"/>
      <c r="E418" s="39"/>
      <c r="F418" s="40"/>
      <c r="G418" s="4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5.5" customHeight="1">
      <c r="A419" s="35">
        <v>12.0</v>
      </c>
      <c r="B419" s="36" t="s">
        <v>414</v>
      </c>
      <c r="C419" s="37"/>
      <c r="D419" s="38"/>
      <c r="E419" s="39"/>
      <c r="F419" s="40"/>
      <c r="G419" s="4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9.75" customHeight="1">
      <c r="A420" s="35">
        <v>13.0</v>
      </c>
      <c r="B420" s="36" t="s">
        <v>415</v>
      </c>
      <c r="C420" s="37"/>
      <c r="D420" s="38"/>
      <c r="E420" s="39"/>
      <c r="F420" s="40"/>
      <c r="G420" s="4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91.5" customHeight="1">
      <c r="A421" s="35">
        <v>14.0</v>
      </c>
      <c r="B421" s="36" t="s">
        <v>416</v>
      </c>
      <c r="C421" s="37"/>
      <c r="D421" s="38"/>
      <c r="E421" s="39"/>
      <c r="F421" s="40"/>
      <c r="G421" s="4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6.0" customHeight="1">
      <c r="A422" s="35">
        <v>15.0</v>
      </c>
      <c r="B422" s="36" t="s">
        <v>417</v>
      </c>
      <c r="C422" s="37"/>
      <c r="D422" s="38"/>
      <c r="E422" s="39"/>
      <c r="F422" s="40"/>
      <c r="G422" s="4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5.5" customHeight="1">
      <c r="A423" s="43" t="s">
        <v>55</v>
      </c>
      <c r="B423" s="37"/>
      <c r="C423" s="37"/>
      <c r="D423" s="37"/>
      <c r="E423" s="44"/>
      <c r="F423" s="48" t="str">
        <f>IF(COUNT(E408:E422)=0,"N/A",SUM((E408:E422))/(COUNT((E408:E422))*2))</f>
        <v>N/A</v>
      </c>
      <c r="G423" s="4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5.5" customHeight="1">
      <c r="A424" s="41" t="s">
        <v>418</v>
      </c>
      <c r="B424" s="37"/>
      <c r="C424" s="37"/>
      <c r="D424" s="37"/>
      <c r="E424" s="37"/>
      <c r="F424" s="42"/>
      <c r="G424" s="4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5.5" customHeight="1">
      <c r="A425" s="35">
        <v>1.0</v>
      </c>
      <c r="B425" s="36" t="s">
        <v>419</v>
      </c>
      <c r="C425" s="37"/>
      <c r="D425" s="38"/>
      <c r="E425" s="39"/>
      <c r="F425" s="40"/>
      <c r="G425" s="4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5.5" customHeight="1">
      <c r="A426" s="35">
        <v>2.0</v>
      </c>
      <c r="B426" s="36" t="s">
        <v>420</v>
      </c>
      <c r="C426" s="37"/>
      <c r="D426" s="38"/>
      <c r="E426" s="39"/>
      <c r="F426" s="40"/>
      <c r="G426" s="4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5.5" customHeight="1">
      <c r="A427" s="35">
        <v>3.0</v>
      </c>
      <c r="B427" s="36" t="s">
        <v>421</v>
      </c>
      <c r="C427" s="37"/>
      <c r="D427" s="38"/>
      <c r="E427" s="39"/>
      <c r="F427" s="40"/>
      <c r="G427" s="4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5.5" customHeight="1">
      <c r="A428" s="35">
        <v>4.0</v>
      </c>
      <c r="B428" s="36" t="s">
        <v>422</v>
      </c>
      <c r="C428" s="37"/>
      <c r="D428" s="38"/>
      <c r="E428" s="39"/>
      <c r="F428" s="40"/>
      <c r="G428" s="4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5.5" customHeight="1">
      <c r="A429" s="43" t="s">
        <v>55</v>
      </c>
      <c r="B429" s="37"/>
      <c r="C429" s="37"/>
      <c r="D429" s="37"/>
      <c r="E429" s="44"/>
      <c r="F429" s="48" t="str">
        <f>IF(COUNT(E425:E428)=0,"N/A",SUM((E425:E428))/(COUNT((E425:E428))*2))</f>
        <v>N/A</v>
      </c>
      <c r="G429" s="4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5.5" customHeight="1">
      <c r="A430" s="41" t="s">
        <v>423</v>
      </c>
      <c r="B430" s="37"/>
      <c r="C430" s="37"/>
      <c r="D430" s="37"/>
      <c r="E430" s="37"/>
      <c r="F430" s="42"/>
      <c r="G430" s="4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5.5" customHeight="1">
      <c r="A431" s="35">
        <v>1.0</v>
      </c>
      <c r="B431" s="36" t="s">
        <v>424</v>
      </c>
      <c r="C431" s="37"/>
      <c r="D431" s="38"/>
      <c r="E431" s="39"/>
      <c r="F431" s="40"/>
      <c r="G431" s="4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5.5" customHeight="1">
      <c r="A432" s="35">
        <v>2.0</v>
      </c>
      <c r="B432" s="36" t="s">
        <v>425</v>
      </c>
      <c r="C432" s="37"/>
      <c r="D432" s="38"/>
      <c r="E432" s="39"/>
      <c r="F432" s="40"/>
      <c r="G432" s="4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5.5" customHeight="1">
      <c r="A433" s="35">
        <v>3.0</v>
      </c>
      <c r="B433" s="36" t="s">
        <v>426</v>
      </c>
      <c r="C433" s="37"/>
      <c r="D433" s="38"/>
      <c r="E433" s="39"/>
      <c r="F433" s="40"/>
      <c r="G433" s="4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5.5" customHeight="1">
      <c r="A434" s="35">
        <v>4.0</v>
      </c>
      <c r="B434" s="36" t="s">
        <v>427</v>
      </c>
      <c r="C434" s="37"/>
      <c r="D434" s="38"/>
      <c r="E434" s="39"/>
      <c r="F434" s="40"/>
      <c r="G434" s="4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5.5" customHeight="1">
      <c r="A435" s="43" t="s">
        <v>55</v>
      </c>
      <c r="B435" s="37"/>
      <c r="C435" s="37"/>
      <c r="D435" s="37"/>
      <c r="E435" s="44"/>
      <c r="F435" s="48" t="str">
        <f>IF(COUNT(E431:E434)=0,"N/A",SUM((E431:E434))/(COUNT((E431:E434))*2))</f>
        <v>N/A</v>
      </c>
      <c r="G435" s="4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5.5" customHeight="1">
      <c r="A436" s="41" t="s">
        <v>428</v>
      </c>
      <c r="B436" s="37"/>
      <c r="C436" s="37"/>
      <c r="D436" s="37"/>
      <c r="E436" s="37"/>
      <c r="F436" s="42"/>
      <c r="G436" s="4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5.5" customHeight="1">
      <c r="A437" s="35">
        <v>1.0</v>
      </c>
      <c r="B437" s="36" t="s">
        <v>429</v>
      </c>
      <c r="C437" s="37"/>
      <c r="D437" s="38"/>
      <c r="E437" s="39"/>
      <c r="F437" s="40"/>
      <c r="G437" s="4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5.5" customHeight="1">
      <c r="A438" s="35">
        <v>2.0</v>
      </c>
      <c r="B438" s="36" t="s">
        <v>430</v>
      </c>
      <c r="C438" s="37"/>
      <c r="D438" s="38"/>
      <c r="E438" s="39"/>
      <c r="F438" s="40"/>
      <c r="G438" s="4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5.5" customHeight="1">
      <c r="A439" s="35">
        <v>3.0</v>
      </c>
      <c r="B439" s="36" t="s">
        <v>431</v>
      </c>
      <c r="C439" s="37"/>
      <c r="D439" s="38"/>
      <c r="E439" s="39"/>
      <c r="F439" s="40"/>
      <c r="G439" s="4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5.5" customHeight="1">
      <c r="A440" s="35">
        <v>4.0</v>
      </c>
      <c r="B440" s="50" t="s">
        <v>432</v>
      </c>
      <c r="C440" s="37"/>
      <c r="D440" s="38"/>
      <c r="E440" s="39"/>
      <c r="F440" s="40"/>
      <c r="G440" s="4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5.5" customHeight="1">
      <c r="A441" s="35">
        <v>5.0</v>
      </c>
      <c r="B441" s="50" t="s">
        <v>433</v>
      </c>
      <c r="C441" s="37"/>
      <c r="D441" s="38"/>
      <c r="E441" s="39"/>
      <c r="F441" s="40"/>
      <c r="G441" s="4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5.5" customHeight="1">
      <c r="A442" s="35">
        <v>6.0</v>
      </c>
      <c r="B442" s="36" t="s">
        <v>434</v>
      </c>
      <c r="C442" s="37"/>
      <c r="D442" s="38"/>
      <c r="E442" s="39"/>
      <c r="F442" s="40"/>
      <c r="G442" s="4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5.5" customHeight="1">
      <c r="A443" s="35">
        <v>7.0</v>
      </c>
      <c r="B443" s="36" t="s">
        <v>435</v>
      </c>
      <c r="C443" s="37"/>
      <c r="D443" s="38"/>
      <c r="E443" s="39"/>
      <c r="F443" s="40"/>
      <c r="G443" s="4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5.5" customHeight="1">
      <c r="A444" s="35">
        <v>8.0</v>
      </c>
      <c r="B444" s="36" t="s">
        <v>436</v>
      </c>
      <c r="C444" s="37"/>
      <c r="D444" s="38"/>
      <c r="E444" s="39"/>
      <c r="F444" s="40"/>
      <c r="G444" s="4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5.5" customHeight="1">
      <c r="A445" s="35">
        <v>9.0</v>
      </c>
      <c r="B445" s="36" t="s">
        <v>437</v>
      </c>
      <c r="C445" s="37"/>
      <c r="D445" s="38"/>
      <c r="E445" s="39"/>
      <c r="F445" s="40"/>
      <c r="G445" s="4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5.5" customHeight="1">
      <c r="A446" s="35">
        <v>10.0</v>
      </c>
      <c r="B446" s="36" t="s">
        <v>438</v>
      </c>
      <c r="C446" s="37"/>
      <c r="D446" s="38"/>
      <c r="E446" s="39"/>
      <c r="F446" s="40"/>
      <c r="G446" s="4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5.5" customHeight="1">
      <c r="A447" s="35">
        <v>11.0</v>
      </c>
      <c r="B447" s="36" t="s">
        <v>439</v>
      </c>
      <c r="C447" s="37"/>
      <c r="D447" s="38"/>
      <c r="E447" s="39"/>
      <c r="F447" s="40"/>
      <c r="G447" s="4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5.5" customHeight="1">
      <c r="A448" s="35">
        <v>12.0</v>
      </c>
      <c r="B448" s="54" t="s">
        <v>440</v>
      </c>
      <c r="C448" s="37"/>
      <c r="D448" s="38"/>
      <c r="E448" s="39"/>
      <c r="F448" s="40"/>
      <c r="G448" s="4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5.5" customHeight="1">
      <c r="A449" s="35">
        <v>13.0</v>
      </c>
      <c r="B449" s="36" t="s">
        <v>441</v>
      </c>
      <c r="C449" s="37"/>
      <c r="D449" s="38"/>
      <c r="E449" s="39"/>
      <c r="F449" s="40"/>
      <c r="G449" s="4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5.5" customHeight="1">
      <c r="A450" s="35">
        <v>14.0</v>
      </c>
      <c r="B450" s="36" t="s">
        <v>442</v>
      </c>
      <c r="C450" s="37"/>
      <c r="D450" s="38"/>
      <c r="E450" s="39"/>
      <c r="F450" s="40"/>
      <c r="G450" s="4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5.5" customHeight="1">
      <c r="A451" s="35">
        <v>15.0</v>
      </c>
      <c r="B451" s="36" t="s">
        <v>443</v>
      </c>
      <c r="C451" s="37"/>
      <c r="D451" s="38"/>
      <c r="E451" s="39"/>
      <c r="F451" s="40"/>
      <c r="G451" s="4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5.5" customHeight="1">
      <c r="A452" s="35">
        <v>16.0</v>
      </c>
      <c r="B452" s="36" t="s">
        <v>444</v>
      </c>
      <c r="C452" s="37"/>
      <c r="D452" s="38"/>
      <c r="E452" s="39"/>
      <c r="F452" s="40"/>
      <c r="G452" s="4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5.5" customHeight="1">
      <c r="A453" s="43" t="s">
        <v>55</v>
      </c>
      <c r="B453" s="37"/>
      <c r="C453" s="37"/>
      <c r="D453" s="37"/>
      <c r="E453" s="44"/>
      <c r="F453" s="48" t="str">
        <f>IF(COUNT(E437:E452)=0,"N/A",SUM((E437:E452))/(COUNT((E437:E452))*2))</f>
        <v>N/A</v>
      </c>
      <c r="G453" s="4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5.5" customHeight="1">
      <c r="A454" s="41" t="s">
        <v>445</v>
      </c>
      <c r="B454" s="37"/>
      <c r="C454" s="37"/>
      <c r="D454" s="37"/>
      <c r="E454" s="37"/>
      <c r="F454" s="42"/>
      <c r="G454" s="4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5.5" customHeight="1">
      <c r="A455" s="35">
        <v>1.0</v>
      </c>
      <c r="B455" s="36" t="s">
        <v>446</v>
      </c>
      <c r="C455" s="37"/>
      <c r="D455" s="38"/>
      <c r="E455" s="39"/>
      <c r="F455" s="40"/>
      <c r="G455" s="4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5.5" customHeight="1">
      <c r="A456" s="35">
        <v>2.0</v>
      </c>
      <c r="B456" s="36" t="s">
        <v>447</v>
      </c>
      <c r="C456" s="37"/>
      <c r="D456" s="38"/>
      <c r="E456" s="39"/>
      <c r="F456" s="40"/>
      <c r="G456" s="4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5.5" customHeight="1">
      <c r="A457" s="35">
        <v>3.0</v>
      </c>
      <c r="B457" s="36" t="s">
        <v>448</v>
      </c>
      <c r="C457" s="37"/>
      <c r="D457" s="38"/>
      <c r="E457" s="39"/>
      <c r="F457" s="40"/>
      <c r="G457" s="4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5.5" customHeight="1">
      <c r="A458" s="35">
        <v>4.0</v>
      </c>
      <c r="B458" s="36" t="s">
        <v>449</v>
      </c>
      <c r="C458" s="37"/>
      <c r="D458" s="38"/>
      <c r="E458" s="39"/>
      <c r="F458" s="40"/>
      <c r="G458" s="4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5.5" customHeight="1">
      <c r="A459" s="35">
        <v>5.0</v>
      </c>
      <c r="B459" s="36" t="s">
        <v>450</v>
      </c>
      <c r="C459" s="37"/>
      <c r="D459" s="38"/>
      <c r="E459" s="39"/>
      <c r="F459" s="40" t="s">
        <v>31</v>
      </c>
      <c r="G459" s="4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5.5" customHeight="1">
      <c r="A460" s="35">
        <v>6.0</v>
      </c>
      <c r="B460" s="36" t="s">
        <v>451</v>
      </c>
      <c r="C460" s="37"/>
      <c r="D460" s="38"/>
      <c r="E460" s="39"/>
      <c r="F460" s="40"/>
      <c r="G460" s="4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5.5" customHeight="1">
      <c r="A461" s="35">
        <v>7.0</v>
      </c>
      <c r="B461" s="36" t="s">
        <v>452</v>
      </c>
      <c r="C461" s="37"/>
      <c r="D461" s="38"/>
      <c r="E461" s="39"/>
      <c r="F461" s="40"/>
      <c r="G461" s="4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5.5" customHeight="1">
      <c r="A462" s="35">
        <v>8.0</v>
      </c>
      <c r="B462" s="36" t="s">
        <v>453</v>
      </c>
      <c r="C462" s="37"/>
      <c r="D462" s="38"/>
      <c r="E462" s="39"/>
      <c r="F462" s="40"/>
      <c r="G462" s="4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5.5" customHeight="1">
      <c r="A463" s="43" t="s">
        <v>55</v>
      </c>
      <c r="B463" s="37"/>
      <c r="C463" s="37"/>
      <c r="D463" s="37"/>
      <c r="E463" s="44"/>
      <c r="F463" s="48" t="str">
        <f>IF(COUNT(E455:E462)=0,"N/A",SUM((E455:E462))/(COUNT((E455:E462))*2))</f>
        <v>N/A</v>
      </c>
      <c r="G463" s="4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5.5" customHeight="1">
      <c r="A464" s="41" t="s">
        <v>454</v>
      </c>
      <c r="B464" s="37"/>
      <c r="C464" s="37"/>
      <c r="D464" s="37"/>
      <c r="E464" s="37"/>
      <c r="F464" s="42"/>
      <c r="G464" s="4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5.5" customHeight="1">
      <c r="A465" s="57" t="s">
        <v>455</v>
      </c>
      <c r="B465" s="37"/>
      <c r="C465" s="37"/>
      <c r="D465" s="37"/>
      <c r="E465" s="37"/>
      <c r="F465" s="42"/>
      <c r="G465" s="4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8.0" customHeight="1">
      <c r="A466" s="35">
        <v>1.0</v>
      </c>
      <c r="B466" s="54" t="s">
        <v>456</v>
      </c>
      <c r="C466" s="37"/>
      <c r="D466" s="38"/>
      <c r="E466" s="39"/>
      <c r="F466" s="40" t="s">
        <v>31</v>
      </c>
      <c r="G466" s="4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5.5" customHeight="1">
      <c r="A467" s="35">
        <v>2.0</v>
      </c>
      <c r="B467" s="54" t="s">
        <v>457</v>
      </c>
      <c r="C467" s="37"/>
      <c r="D467" s="38"/>
      <c r="E467" s="39"/>
      <c r="F467" s="40"/>
      <c r="G467" s="4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5.5" customHeight="1">
      <c r="A468" s="35">
        <v>3.0</v>
      </c>
      <c r="B468" s="54" t="s">
        <v>458</v>
      </c>
      <c r="C468" s="37"/>
      <c r="D468" s="38"/>
      <c r="E468" s="39"/>
      <c r="F468" s="40"/>
      <c r="G468" s="4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5.5" customHeight="1">
      <c r="A469" s="35">
        <v>4.0</v>
      </c>
      <c r="B469" s="54" t="s">
        <v>459</v>
      </c>
      <c r="C469" s="37"/>
      <c r="D469" s="38"/>
      <c r="E469" s="39"/>
      <c r="F469" s="40"/>
      <c r="G469" s="4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5.5" customHeight="1">
      <c r="A470" s="35">
        <v>5.0</v>
      </c>
      <c r="B470" s="54" t="s">
        <v>460</v>
      </c>
      <c r="C470" s="37"/>
      <c r="D470" s="38"/>
      <c r="E470" s="39"/>
      <c r="F470" s="40"/>
      <c r="G470" s="4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5.5" customHeight="1">
      <c r="A471" s="35">
        <v>6.0</v>
      </c>
      <c r="B471" s="54" t="s">
        <v>461</v>
      </c>
      <c r="C471" s="37"/>
      <c r="D471" s="38"/>
      <c r="E471" s="39"/>
      <c r="F471" s="40"/>
      <c r="G471" s="4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5.5" customHeight="1">
      <c r="A472" s="35">
        <v>7.0</v>
      </c>
      <c r="B472" s="54" t="s">
        <v>462</v>
      </c>
      <c r="C472" s="37"/>
      <c r="D472" s="38"/>
      <c r="E472" s="39"/>
      <c r="F472" s="40"/>
      <c r="G472" s="4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5.0" customHeight="1">
      <c r="A473" s="35">
        <v>8.0</v>
      </c>
      <c r="B473" s="54" t="s">
        <v>463</v>
      </c>
      <c r="C473" s="37"/>
      <c r="D473" s="38"/>
      <c r="E473" s="39"/>
      <c r="F473" s="40"/>
      <c r="G473" s="4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5.5" customHeight="1">
      <c r="A474" s="35">
        <v>9.0</v>
      </c>
      <c r="B474" s="54" t="s">
        <v>464</v>
      </c>
      <c r="C474" s="37"/>
      <c r="D474" s="38"/>
      <c r="E474" s="39"/>
      <c r="F474" s="40"/>
      <c r="G474" s="4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5.5" customHeight="1">
      <c r="A475" s="35">
        <v>10.0</v>
      </c>
      <c r="B475" s="54" t="s">
        <v>465</v>
      </c>
      <c r="C475" s="37"/>
      <c r="D475" s="38"/>
      <c r="E475" s="39"/>
      <c r="F475" s="40"/>
      <c r="G475" s="4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5.5" customHeight="1">
      <c r="A476" s="57" t="s">
        <v>466</v>
      </c>
      <c r="B476" s="37"/>
      <c r="C476" s="37"/>
      <c r="D476" s="37"/>
      <c r="E476" s="37"/>
      <c r="F476" s="42"/>
      <c r="G476" s="4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5.5" customHeight="1">
      <c r="A477" s="35">
        <v>11.0</v>
      </c>
      <c r="B477" s="54" t="s">
        <v>467</v>
      </c>
      <c r="C477" s="37"/>
      <c r="D477" s="38"/>
      <c r="E477" s="39"/>
      <c r="F477" s="40"/>
      <c r="G477" s="4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5.5" customHeight="1">
      <c r="A478" s="35">
        <v>12.0</v>
      </c>
      <c r="B478" s="54" t="s">
        <v>468</v>
      </c>
      <c r="C478" s="37"/>
      <c r="D478" s="38"/>
      <c r="E478" s="39"/>
      <c r="F478" s="40"/>
      <c r="G478" s="4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5.5" customHeight="1">
      <c r="A479" s="35">
        <v>13.0</v>
      </c>
      <c r="B479" s="54" t="s">
        <v>469</v>
      </c>
      <c r="C479" s="37"/>
      <c r="D479" s="38"/>
      <c r="E479" s="39"/>
      <c r="F479" s="40"/>
      <c r="G479" s="4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5.5" customHeight="1">
      <c r="A480" s="35">
        <v>14.0</v>
      </c>
      <c r="B480" s="54" t="s">
        <v>470</v>
      </c>
      <c r="C480" s="37"/>
      <c r="D480" s="38"/>
      <c r="E480" s="39"/>
      <c r="F480" s="40"/>
      <c r="G480" s="4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5.5" customHeight="1">
      <c r="A481" s="35">
        <v>15.0</v>
      </c>
      <c r="B481" s="54" t="s">
        <v>471</v>
      </c>
      <c r="C481" s="37"/>
      <c r="D481" s="38"/>
      <c r="E481" s="39"/>
      <c r="F481" s="40"/>
      <c r="G481" s="4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5.5" customHeight="1">
      <c r="A482" s="35">
        <v>16.0</v>
      </c>
      <c r="B482" s="54" t="s">
        <v>472</v>
      </c>
      <c r="C482" s="37"/>
      <c r="D482" s="38"/>
      <c r="E482" s="39"/>
      <c r="F482" s="40"/>
      <c r="G482" s="4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5.5" customHeight="1">
      <c r="A483" s="35">
        <v>17.0</v>
      </c>
      <c r="B483" s="54" t="s">
        <v>473</v>
      </c>
      <c r="C483" s="37"/>
      <c r="D483" s="38"/>
      <c r="E483" s="39"/>
      <c r="F483" s="40"/>
      <c r="G483" s="4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5.5" customHeight="1">
      <c r="A484" s="35">
        <v>18.0</v>
      </c>
      <c r="B484" s="54" t="s">
        <v>474</v>
      </c>
      <c r="C484" s="37"/>
      <c r="D484" s="38"/>
      <c r="E484" s="39"/>
      <c r="F484" s="40"/>
      <c r="G484" s="4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5.5" customHeight="1">
      <c r="A485" s="35">
        <v>19.0</v>
      </c>
      <c r="B485" s="54" t="s">
        <v>475</v>
      </c>
      <c r="C485" s="37"/>
      <c r="D485" s="38"/>
      <c r="E485" s="39"/>
      <c r="F485" s="40"/>
      <c r="G485" s="4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5.5" customHeight="1">
      <c r="A486" s="35">
        <v>20.0</v>
      </c>
      <c r="B486" s="54" t="s">
        <v>476</v>
      </c>
      <c r="C486" s="37"/>
      <c r="D486" s="38"/>
      <c r="E486" s="39"/>
      <c r="F486" s="40"/>
      <c r="G486" s="4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5.5" customHeight="1">
      <c r="A487" s="35">
        <v>21.0</v>
      </c>
      <c r="B487" s="54" t="s">
        <v>477</v>
      </c>
      <c r="C487" s="37"/>
      <c r="D487" s="38"/>
      <c r="E487" s="39"/>
      <c r="F487" s="40"/>
      <c r="G487" s="4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5.5" customHeight="1">
      <c r="A488" s="35">
        <v>22.0</v>
      </c>
      <c r="B488" s="54" t="s">
        <v>478</v>
      </c>
      <c r="C488" s="37"/>
      <c r="D488" s="38"/>
      <c r="E488" s="39"/>
      <c r="F488" s="40"/>
      <c r="G488" s="4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5.5" customHeight="1">
      <c r="A489" s="35">
        <v>23.0</v>
      </c>
      <c r="B489" s="54" t="s">
        <v>479</v>
      </c>
      <c r="C489" s="37"/>
      <c r="D489" s="38"/>
      <c r="E489" s="39"/>
      <c r="F489" s="40"/>
      <c r="G489" s="4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5.5" customHeight="1">
      <c r="A490" s="35">
        <v>24.0</v>
      </c>
      <c r="B490" s="54" t="s">
        <v>480</v>
      </c>
      <c r="C490" s="37"/>
      <c r="D490" s="38"/>
      <c r="E490" s="39"/>
      <c r="F490" s="40"/>
      <c r="G490" s="4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5.5" customHeight="1">
      <c r="A491" s="35">
        <v>25.0</v>
      </c>
      <c r="B491" s="54" t="s">
        <v>481</v>
      </c>
      <c r="C491" s="37"/>
      <c r="D491" s="38"/>
      <c r="E491" s="39"/>
      <c r="F491" s="40"/>
      <c r="G491" s="4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5.5" customHeight="1">
      <c r="A492" s="57" t="s">
        <v>482</v>
      </c>
      <c r="B492" s="37"/>
      <c r="C492" s="37"/>
      <c r="D492" s="37"/>
      <c r="E492" s="37"/>
      <c r="F492" s="42"/>
      <c r="G492" s="4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78.0" customHeight="1">
      <c r="A493" s="35">
        <v>26.0</v>
      </c>
      <c r="B493" s="54" t="s">
        <v>483</v>
      </c>
      <c r="C493" s="37"/>
      <c r="D493" s="38"/>
      <c r="E493" s="39"/>
      <c r="F493" s="40"/>
      <c r="G493" s="4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51.75" customHeight="1">
      <c r="A494" s="35">
        <v>27.0</v>
      </c>
      <c r="B494" s="54" t="s">
        <v>484</v>
      </c>
      <c r="C494" s="37"/>
      <c r="D494" s="38"/>
      <c r="E494" s="39"/>
      <c r="F494" s="40"/>
      <c r="G494" s="4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5.5" customHeight="1">
      <c r="A495" s="35">
        <v>28.0</v>
      </c>
      <c r="B495" s="54" t="s">
        <v>485</v>
      </c>
      <c r="C495" s="37"/>
      <c r="D495" s="44"/>
      <c r="E495" s="39"/>
      <c r="F495" s="40"/>
      <c r="G495" s="4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5.5" customHeight="1">
      <c r="A496" s="57" t="s">
        <v>486</v>
      </c>
      <c r="B496" s="37"/>
      <c r="C496" s="37"/>
      <c r="D496" s="37"/>
      <c r="E496" s="37"/>
      <c r="F496" s="42"/>
      <c r="G496" s="4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5.5" customHeight="1">
      <c r="A497" s="35">
        <v>29.0</v>
      </c>
      <c r="B497" s="54" t="s">
        <v>487</v>
      </c>
      <c r="C497" s="37"/>
      <c r="D497" s="38"/>
      <c r="E497" s="39"/>
      <c r="F497" s="40"/>
      <c r="G497" s="4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5.5" customHeight="1">
      <c r="A498" s="35">
        <v>30.0</v>
      </c>
      <c r="B498" s="54" t="s">
        <v>488</v>
      </c>
      <c r="C498" s="37"/>
      <c r="D498" s="38"/>
      <c r="E498" s="39"/>
      <c r="F498" s="40"/>
      <c r="G498" s="4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5.5" customHeight="1">
      <c r="A499" s="35">
        <v>31.0</v>
      </c>
      <c r="B499" s="54">
        <v>0.0</v>
      </c>
      <c r="C499" s="37"/>
      <c r="D499" s="38"/>
      <c r="E499" s="39"/>
      <c r="F499" s="40"/>
      <c r="G499" s="4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5.5" customHeight="1">
      <c r="A500" s="35">
        <v>32.0</v>
      </c>
      <c r="B500" s="54" t="s">
        <v>489</v>
      </c>
      <c r="C500" s="37"/>
      <c r="D500" s="38"/>
      <c r="E500" s="39"/>
      <c r="F500" s="40"/>
      <c r="G500" s="4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5.5" customHeight="1">
      <c r="A501" s="58" t="s">
        <v>101</v>
      </c>
      <c r="B501" s="59"/>
      <c r="C501" s="59"/>
      <c r="D501" s="59"/>
      <c r="E501" s="60"/>
      <c r="F501" s="61" t="str">
        <f>IF(COUNT(E466:E500)=0,"N/A",SUM((E466:E500))/(COUNT((E466:E500))*2))</f>
        <v>N/A</v>
      </c>
      <c r="G501" s="4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5.5" customHeight="1">
      <c r="A502" s="62"/>
      <c r="G502" s="4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5.5" customHeight="1">
      <c r="G503" s="4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5.5" customHeight="1">
      <c r="G504" s="4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5.5" customHeight="1">
      <c r="A505" s="63" t="s">
        <v>490</v>
      </c>
      <c r="B505" s="64"/>
      <c r="C505" s="64"/>
      <c r="D505" s="64"/>
      <c r="E505" s="64"/>
      <c r="F505" s="64"/>
      <c r="G505" s="64"/>
      <c r="H505" s="6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5.5" customHeight="1">
      <c r="A506" s="66" t="s">
        <v>491</v>
      </c>
      <c r="B506" s="67" t="s">
        <v>492</v>
      </c>
      <c r="C506" s="68" t="s">
        <v>493</v>
      </c>
      <c r="D506" s="69"/>
      <c r="E506" s="70"/>
      <c r="F506" s="71" t="s">
        <v>494</v>
      </c>
      <c r="G506" s="72"/>
      <c r="H506" s="73" t="s">
        <v>495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5.5" customHeight="1">
      <c r="A507" s="74"/>
      <c r="B507" s="75"/>
      <c r="C507" s="75">
        <v>0.0</v>
      </c>
      <c r="D507" s="75">
        <v>1.0</v>
      </c>
      <c r="E507" s="75"/>
      <c r="F507" s="76"/>
      <c r="G507" s="77"/>
      <c r="H507" s="7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5.5" customHeight="1">
      <c r="A508" s="79">
        <v>1.0</v>
      </c>
      <c r="B508" s="80" t="s">
        <v>496</v>
      </c>
      <c r="C508" s="81" t="s">
        <v>497</v>
      </c>
      <c r="D508" s="81" t="s">
        <v>498</v>
      </c>
      <c r="E508" s="81" t="s">
        <v>499</v>
      </c>
      <c r="F508" s="82"/>
      <c r="G508" s="44"/>
      <c r="H508" s="39">
        <v>2.0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5.5" customHeight="1">
      <c r="A509" s="79">
        <v>2.0</v>
      </c>
      <c r="B509" s="80" t="s">
        <v>500</v>
      </c>
      <c r="C509" s="81" t="s">
        <v>501</v>
      </c>
      <c r="D509" s="83"/>
      <c r="E509" s="81" t="s">
        <v>502</v>
      </c>
      <c r="F509" s="82"/>
      <c r="G509" s="44"/>
      <c r="H509" s="39">
        <v>2.0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5.5" customHeight="1">
      <c r="A510" s="79">
        <v>3.0</v>
      </c>
      <c r="B510" s="80" t="s">
        <v>503</v>
      </c>
      <c r="C510" s="81" t="s">
        <v>504</v>
      </c>
      <c r="D510" s="83"/>
      <c r="E510" s="81" t="s">
        <v>505</v>
      </c>
      <c r="F510" s="82"/>
      <c r="G510" s="44"/>
      <c r="H510" s="39">
        <v>2.0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5.5" customHeight="1">
      <c r="A511" s="79">
        <v>4.0</v>
      </c>
      <c r="B511" s="80" t="s">
        <v>506</v>
      </c>
      <c r="C511" s="81" t="s">
        <v>507</v>
      </c>
      <c r="D511" s="83"/>
      <c r="E511" s="81" t="s">
        <v>508</v>
      </c>
      <c r="F511" s="82"/>
      <c r="G511" s="44"/>
      <c r="H511" s="39">
        <v>2.0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5.5" customHeight="1">
      <c r="A512" s="79">
        <v>5.0</v>
      </c>
      <c r="B512" s="80" t="s">
        <v>509</v>
      </c>
      <c r="C512" s="81" t="s">
        <v>510</v>
      </c>
      <c r="D512" s="83"/>
      <c r="E512" s="81" t="s">
        <v>511</v>
      </c>
      <c r="F512" s="82" t="s">
        <v>31</v>
      </c>
      <c r="G512" s="44"/>
      <c r="H512" s="39">
        <v>0.0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5.5" customHeight="1">
      <c r="A513" s="79">
        <v>6.0</v>
      </c>
      <c r="B513" s="80" t="s">
        <v>512</v>
      </c>
      <c r="C513" s="81" t="s">
        <v>513</v>
      </c>
      <c r="D513" s="83"/>
      <c r="E513" s="81" t="s">
        <v>514</v>
      </c>
      <c r="F513" s="82"/>
      <c r="G513" s="44"/>
      <c r="H513" s="39">
        <v>2.0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5.5" customHeight="1">
      <c r="A514" s="79">
        <v>7.0</v>
      </c>
      <c r="B514" s="80" t="s">
        <v>515</v>
      </c>
      <c r="C514" s="81" t="s">
        <v>516</v>
      </c>
      <c r="D514" s="81" t="s">
        <v>517</v>
      </c>
      <c r="E514" s="81" t="s">
        <v>518</v>
      </c>
      <c r="F514" s="82"/>
      <c r="G514" s="44"/>
      <c r="H514" s="39">
        <v>2.0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5.5" customHeight="1">
      <c r="A515" s="79">
        <v>8.0</v>
      </c>
      <c r="B515" s="80" t="s">
        <v>519</v>
      </c>
      <c r="C515" s="81" t="s">
        <v>520</v>
      </c>
      <c r="D515" s="81" t="s">
        <v>521</v>
      </c>
      <c r="E515" s="81" t="s">
        <v>522</v>
      </c>
      <c r="F515" s="82" t="s">
        <v>523</v>
      </c>
      <c r="G515" s="44"/>
      <c r="H515" s="39">
        <v>0.0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0.25" customHeight="1">
      <c r="A516" s="84" t="s">
        <v>524</v>
      </c>
      <c r="B516" s="37"/>
      <c r="C516" s="37"/>
      <c r="D516" s="37"/>
      <c r="E516" s="37"/>
      <c r="F516" s="37"/>
      <c r="G516" s="37"/>
      <c r="H516" s="4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5.5" customHeight="1">
      <c r="A517" s="79">
        <v>9.0</v>
      </c>
      <c r="B517" s="80" t="s">
        <v>525</v>
      </c>
      <c r="C517" s="81" t="s">
        <v>526</v>
      </c>
      <c r="D517" s="81" t="s">
        <v>527</v>
      </c>
      <c r="E517" s="81" t="s">
        <v>528</v>
      </c>
      <c r="F517" s="82"/>
      <c r="G517" s="44"/>
      <c r="H517" s="39">
        <v>2.0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5.5" customHeight="1">
      <c r="A518" s="79">
        <v>10.0</v>
      </c>
      <c r="B518" s="80" t="s">
        <v>529</v>
      </c>
      <c r="C518" s="81" t="s">
        <v>530</v>
      </c>
      <c r="D518" s="81" t="s">
        <v>531</v>
      </c>
      <c r="E518" s="81" t="s">
        <v>532</v>
      </c>
      <c r="F518" s="82"/>
      <c r="G518" s="44"/>
      <c r="H518" s="39">
        <v>2.0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5.5" customHeight="1">
      <c r="A519" s="79">
        <v>11.0</v>
      </c>
      <c r="B519" s="80" t="s">
        <v>533</v>
      </c>
      <c r="C519" s="81" t="s">
        <v>534</v>
      </c>
      <c r="D519" s="81" t="s">
        <v>535</v>
      </c>
      <c r="E519" s="81" t="s">
        <v>536</v>
      </c>
      <c r="F519" s="85"/>
      <c r="G519" s="44"/>
      <c r="H519" s="39">
        <v>2.0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5.5" customHeight="1">
      <c r="A520" s="79">
        <v>12.0</v>
      </c>
      <c r="B520" s="80" t="s">
        <v>537</v>
      </c>
      <c r="C520" s="81" t="s">
        <v>538</v>
      </c>
      <c r="D520" s="83"/>
      <c r="E520" s="81" t="s">
        <v>539</v>
      </c>
      <c r="F520" s="85"/>
      <c r="G520" s="44"/>
      <c r="H520" s="39">
        <v>2.0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5.5" customHeight="1">
      <c r="A521" s="79">
        <v>13.0</v>
      </c>
      <c r="B521" s="80" t="s">
        <v>540</v>
      </c>
      <c r="C521" s="81" t="s">
        <v>541</v>
      </c>
      <c r="D521" s="81" t="s">
        <v>542</v>
      </c>
      <c r="E521" s="81" t="s">
        <v>543</v>
      </c>
      <c r="F521" s="85"/>
      <c r="G521" s="44"/>
      <c r="H521" s="39">
        <v>2.0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5.5" customHeight="1">
      <c r="A522" s="79">
        <v>14.0</v>
      </c>
      <c r="B522" s="80" t="s">
        <v>544</v>
      </c>
      <c r="C522" s="81" t="s">
        <v>545</v>
      </c>
      <c r="D522" s="81" t="s">
        <v>546</v>
      </c>
      <c r="E522" s="81" t="s">
        <v>547</v>
      </c>
      <c r="F522" s="85"/>
      <c r="G522" s="44"/>
      <c r="H522" s="39">
        <v>2.0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0.25" customHeight="1">
      <c r="A523" s="84" t="s">
        <v>548</v>
      </c>
      <c r="B523" s="37"/>
      <c r="C523" s="37"/>
      <c r="D523" s="37"/>
      <c r="E523" s="37"/>
      <c r="F523" s="37"/>
      <c r="G523" s="37"/>
      <c r="H523" s="4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5.5" customHeight="1">
      <c r="A524" s="79">
        <v>15.0</v>
      </c>
      <c r="B524" s="80" t="s">
        <v>549</v>
      </c>
      <c r="C524" s="86" t="s">
        <v>550</v>
      </c>
      <c r="D524" s="86" t="s">
        <v>551</v>
      </c>
      <c r="E524" s="86" t="s">
        <v>552</v>
      </c>
      <c r="F524" s="85"/>
      <c r="G524" s="44"/>
      <c r="H524" s="39">
        <v>2.0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5.5" customHeight="1">
      <c r="A525" s="79">
        <v>16.0</v>
      </c>
      <c r="B525" s="80" t="s">
        <v>553</v>
      </c>
      <c r="C525" s="86" t="s">
        <v>554</v>
      </c>
      <c r="D525" s="86" t="s">
        <v>555</v>
      </c>
      <c r="E525" s="86" t="s">
        <v>556</v>
      </c>
      <c r="F525" s="85"/>
      <c r="G525" s="44"/>
      <c r="H525" s="39">
        <v>2.0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5.5" customHeight="1">
      <c r="A526" s="87">
        <v>17.0</v>
      </c>
      <c r="B526" s="88" t="s">
        <v>557</v>
      </c>
      <c r="C526" s="89" t="s">
        <v>558</v>
      </c>
      <c r="D526" s="89" t="s">
        <v>559</v>
      </c>
      <c r="E526" s="89" t="s">
        <v>560</v>
      </c>
      <c r="F526" s="90"/>
      <c r="G526" s="60"/>
      <c r="H526" s="91">
        <v>2.0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5.5" customHeight="1">
      <c r="A527" s="92" t="s">
        <v>561</v>
      </c>
      <c r="B527" s="93"/>
      <c r="C527" s="93"/>
      <c r="D527" s="93"/>
      <c r="E527" s="93"/>
      <c r="F527" s="93"/>
      <c r="G527" s="93"/>
      <c r="H527" s="9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5.5" customHeight="1">
      <c r="A528" s="95" t="s">
        <v>562</v>
      </c>
      <c r="B528" s="96" t="s">
        <v>563</v>
      </c>
      <c r="C528" s="97" t="s">
        <v>7</v>
      </c>
      <c r="D528" s="37"/>
      <c r="E528" s="37"/>
      <c r="F528" s="37"/>
      <c r="G528" s="38"/>
      <c r="H528" s="98" t="s">
        <v>495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5.5" customHeight="1">
      <c r="A529" s="99">
        <v>1.0</v>
      </c>
      <c r="B529" s="86" t="s">
        <v>564</v>
      </c>
      <c r="C529" s="100" t="s">
        <v>565</v>
      </c>
      <c r="D529" s="37"/>
      <c r="E529" s="37"/>
      <c r="F529" s="37"/>
      <c r="G529" s="44"/>
      <c r="H529" s="39">
        <v>2.0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5.5" customHeight="1">
      <c r="A530" s="99">
        <v>2.0</v>
      </c>
      <c r="B530" s="86" t="s">
        <v>566</v>
      </c>
      <c r="C530" s="100" t="s">
        <v>567</v>
      </c>
      <c r="D530" s="37"/>
      <c r="E530" s="37"/>
      <c r="F530" s="37"/>
      <c r="G530" s="44"/>
      <c r="H530" s="39">
        <v>2.0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5.5" customHeight="1">
      <c r="A531" s="99">
        <v>3.0</v>
      </c>
      <c r="B531" s="86" t="s">
        <v>568</v>
      </c>
      <c r="C531" s="100" t="s">
        <v>569</v>
      </c>
      <c r="D531" s="37"/>
      <c r="E531" s="37"/>
      <c r="F531" s="37"/>
      <c r="G531" s="44"/>
      <c r="H531" s="39">
        <v>2.0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5.5" customHeight="1">
      <c r="A532" s="99">
        <v>4.0</v>
      </c>
      <c r="B532" s="86" t="s">
        <v>570</v>
      </c>
      <c r="C532" s="100" t="s">
        <v>571</v>
      </c>
      <c r="D532" s="37"/>
      <c r="E532" s="37"/>
      <c r="F532" s="37"/>
      <c r="G532" s="44"/>
      <c r="H532" s="39">
        <v>2.0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5.5" customHeight="1">
      <c r="A533" s="99">
        <v>5.0</v>
      </c>
      <c r="B533" s="86" t="s">
        <v>572</v>
      </c>
      <c r="C533" s="100" t="s">
        <v>573</v>
      </c>
      <c r="D533" s="37"/>
      <c r="E533" s="37"/>
      <c r="F533" s="37"/>
      <c r="G533" s="44"/>
      <c r="H533" s="39">
        <v>2.0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5.5" customHeight="1">
      <c r="A534" s="99">
        <v>6.0</v>
      </c>
      <c r="B534" s="86" t="s">
        <v>574</v>
      </c>
      <c r="C534" s="100" t="s">
        <v>575</v>
      </c>
      <c r="D534" s="37"/>
      <c r="E534" s="37"/>
      <c r="F534" s="37"/>
      <c r="G534" s="44"/>
      <c r="H534" s="39">
        <v>2.0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5.5" customHeight="1">
      <c r="A535" s="101">
        <v>7.0</v>
      </c>
      <c r="B535" s="89" t="s">
        <v>576</v>
      </c>
      <c r="C535" s="102" t="s">
        <v>577</v>
      </c>
      <c r="D535" s="59"/>
      <c r="E535" s="59"/>
      <c r="F535" s="59"/>
      <c r="G535" s="60"/>
      <c r="H535" s="91">
        <v>2.0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103" t="s">
        <v>578</v>
      </c>
      <c r="B536" s="93"/>
      <c r="C536" s="93"/>
      <c r="D536" s="93"/>
      <c r="E536" s="93"/>
      <c r="F536" s="93"/>
      <c r="G536" s="93"/>
      <c r="H536" s="9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5.5" customHeight="1">
      <c r="A537" s="95" t="s">
        <v>579</v>
      </c>
      <c r="B537" s="96" t="s">
        <v>580</v>
      </c>
      <c r="C537" s="97" t="s">
        <v>7</v>
      </c>
      <c r="D537" s="37"/>
      <c r="E537" s="37"/>
      <c r="F537" s="37"/>
      <c r="G537" s="38"/>
      <c r="H537" s="98" t="s">
        <v>495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5.5" customHeight="1">
      <c r="A538" s="99">
        <v>1.0</v>
      </c>
      <c r="B538" s="80" t="s">
        <v>581</v>
      </c>
      <c r="C538" s="100" t="s">
        <v>582</v>
      </c>
      <c r="D538" s="37"/>
      <c r="E538" s="37"/>
      <c r="F538" s="37"/>
      <c r="G538" s="44"/>
      <c r="H538" s="39">
        <v>2.0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5.5" customHeight="1">
      <c r="A539" s="99">
        <v>2.0</v>
      </c>
      <c r="B539" s="80" t="s">
        <v>583</v>
      </c>
      <c r="C539" s="100" t="s">
        <v>584</v>
      </c>
      <c r="D539" s="37"/>
      <c r="E539" s="37"/>
      <c r="F539" s="37"/>
      <c r="G539" s="44"/>
      <c r="H539" s="39">
        <v>2.0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5.5" customHeight="1">
      <c r="A540" s="99">
        <v>3.0</v>
      </c>
      <c r="B540" s="80" t="s">
        <v>585</v>
      </c>
      <c r="C540" s="100" t="s">
        <v>586</v>
      </c>
      <c r="D540" s="37"/>
      <c r="E540" s="37"/>
      <c r="F540" s="37"/>
      <c r="G540" s="44"/>
      <c r="H540" s="39">
        <v>2.0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5.5" customHeight="1">
      <c r="A541" s="99">
        <v>4.0</v>
      </c>
      <c r="B541" s="80" t="s">
        <v>587</v>
      </c>
      <c r="C541" s="100" t="s">
        <v>588</v>
      </c>
      <c r="D541" s="37"/>
      <c r="E541" s="37"/>
      <c r="F541" s="37"/>
      <c r="G541" s="44"/>
      <c r="H541" s="39">
        <v>2.0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5.5" customHeight="1">
      <c r="A542" s="101">
        <v>5.0</v>
      </c>
      <c r="B542" s="88" t="s">
        <v>589</v>
      </c>
      <c r="C542" s="102" t="s">
        <v>590</v>
      </c>
      <c r="D542" s="59"/>
      <c r="E542" s="59"/>
      <c r="F542" s="59"/>
      <c r="G542" s="60"/>
      <c r="H542" s="91">
        <v>2.0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103" t="s">
        <v>591</v>
      </c>
      <c r="B543" s="93"/>
      <c r="C543" s="93"/>
      <c r="D543" s="93"/>
      <c r="E543" s="93"/>
      <c r="F543" s="93"/>
      <c r="G543" s="93"/>
      <c r="H543" s="9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5.5" customHeight="1">
      <c r="A544" s="95" t="s">
        <v>592</v>
      </c>
      <c r="B544" s="96" t="s">
        <v>593</v>
      </c>
      <c r="C544" s="97" t="s">
        <v>7</v>
      </c>
      <c r="D544" s="37"/>
      <c r="E544" s="37"/>
      <c r="F544" s="37"/>
      <c r="G544" s="38"/>
      <c r="H544" s="98" t="s">
        <v>495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5.5" customHeight="1">
      <c r="A545" s="99">
        <v>1.0</v>
      </c>
      <c r="B545" s="104" t="s">
        <v>594</v>
      </c>
      <c r="C545" s="105"/>
      <c r="D545" s="37"/>
      <c r="E545" s="37"/>
      <c r="F545" s="37"/>
      <c r="G545" s="44"/>
      <c r="H545" s="39">
        <v>2.0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5.5" customHeight="1">
      <c r="A546" s="99">
        <v>2.0</v>
      </c>
      <c r="B546" s="106" t="s">
        <v>595</v>
      </c>
      <c r="C546" s="105"/>
      <c r="D546" s="37"/>
      <c r="E546" s="37"/>
      <c r="F546" s="37"/>
      <c r="G546" s="44"/>
      <c r="H546" s="39">
        <v>2.0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5.5" customHeight="1">
      <c r="A547" s="99">
        <v>3.0</v>
      </c>
      <c r="B547" s="104" t="s">
        <v>596</v>
      </c>
      <c r="C547" s="105" t="s">
        <v>31</v>
      </c>
      <c r="D547" s="37"/>
      <c r="E547" s="37"/>
      <c r="F547" s="37"/>
      <c r="G547" s="44"/>
      <c r="H547" s="39">
        <v>0.0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5.5" customHeight="1">
      <c r="A548" s="99">
        <v>4.0</v>
      </c>
      <c r="B548" s="104" t="s">
        <v>597</v>
      </c>
      <c r="C548" s="105" t="s">
        <v>31</v>
      </c>
      <c r="D548" s="37"/>
      <c r="E548" s="37"/>
      <c r="F548" s="37"/>
      <c r="G548" s="44"/>
      <c r="H548" s="39">
        <v>0.0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5.5" customHeight="1">
      <c r="A549" s="99">
        <v>5.0</v>
      </c>
      <c r="B549" s="104" t="s">
        <v>598</v>
      </c>
      <c r="C549" s="107" t="s">
        <v>31</v>
      </c>
      <c r="D549" s="37"/>
      <c r="E549" s="37"/>
      <c r="F549" s="37"/>
      <c r="G549" s="44"/>
      <c r="H549" s="39">
        <v>0.0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5.5" customHeight="1">
      <c r="A550" s="99">
        <v>6.0</v>
      </c>
      <c r="B550" s="104" t="s">
        <v>599</v>
      </c>
      <c r="C550" s="108" t="s">
        <v>31</v>
      </c>
      <c r="D550" s="37"/>
      <c r="E550" s="37"/>
      <c r="F550" s="37"/>
      <c r="G550" s="44"/>
      <c r="H550" s="39">
        <v>0.0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5.5" customHeight="1">
      <c r="A551" s="99">
        <v>7.0</v>
      </c>
      <c r="B551" s="104" t="s">
        <v>600</v>
      </c>
      <c r="C551" s="107" t="s">
        <v>31</v>
      </c>
      <c r="D551" s="37"/>
      <c r="E551" s="37"/>
      <c r="F551" s="37"/>
      <c r="G551" s="44"/>
      <c r="H551" s="39">
        <v>0.0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5.5" customHeight="1">
      <c r="A552" s="99">
        <v>8.0</v>
      </c>
      <c r="B552" s="106" t="s">
        <v>601</v>
      </c>
      <c r="C552" s="107" t="s">
        <v>31</v>
      </c>
      <c r="D552" s="37"/>
      <c r="E552" s="37"/>
      <c r="F552" s="37"/>
      <c r="G552" s="44"/>
      <c r="H552" s="39">
        <v>0.0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5.5" customHeight="1">
      <c r="A553" s="99">
        <v>9.0</v>
      </c>
      <c r="B553" s="106" t="s">
        <v>602</v>
      </c>
      <c r="C553" s="107" t="s">
        <v>31</v>
      </c>
      <c r="D553" s="37"/>
      <c r="E553" s="37"/>
      <c r="F553" s="37"/>
      <c r="G553" s="44"/>
      <c r="H553" s="39">
        <v>0.0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5.5" customHeight="1">
      <c r="A554" s="99">
        <v>10.0</v>
      </c>
      <c r="B554" s="104" t="s">
        <v>603</v>
      </c>
      <c r="C554" s="107" t="s">
        <v>31</v>
      </c>
      <c r="D554" s="37"/>
      <c r="E554" s="37"/>
      <c r="F554" s="37"/>
      <c r="G554" s="44"/>
      <c r="H554" s="39">
        <v>0.0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5.5" customHeight="1">
      <c r="A555" s="99">
        <v>11.0</v>
      </c>
      <c r="B555" s="104" t="s">
        <v>604</v>
      </c>
      <c r="C555" s="107"/>
      <c r="D555" s="37"/>
      <c r="E555" s="37"/>
      <c r="F555" s="37"/>
      <c r="G555" s="44"/>
      <c r="H555" s="39">
        <v>2.0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5.5" customHeight="1">
      <c r="A556" s="99">
        <v>12.0</v>
      </c>
      <c r="B556" s="104" t="s">
        <v>605</v>
      </c>
      <c r="C556" s="108"/>
      <c r="D556" s="37"/>
      <c r="E556" s="37"/>
      <c r="F556" s="37"/>
      <c r="G556" s="44"/>
      <c r="H556" s="39">
        <v>2.0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5.5" customHeight="1">
      <c r="A557" s="99">
        <v>13.0</v>
      </c>
      <c r="B557" s="104" t="s">
        <v>606</v>
      </c>
      <c r="C557" s="107"/>
      <c r="D557" s="37"/>
      <c r="E557" s="37"/>
      <c r="F557" s="37"/>
      <c r="G557" s="44"/>
      <c r="H557" s="39">
        <v>2.0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5.5" customHeight="1">
      <c r="A558" s="99">
        <v>14.0</v>
      </c>
      <c r="B558" s="104" t="s">
        <v>607</v>
      </c>
      <c r="C558" s="105" t="s">
        <v>608</v>
      </c>
      <c r="D558" s="37"/>
      <c r="E558" s="37"/>
      <c r="F558" s="37"/>
      <c r="G558" s="44"/>
      <c r="H558" s="39">
        <v>0.0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5.5" customHeight="1">
      <c r="A559" s="99">
        <v>15.0</v>
      </c>
      <c r="B559" s="104" t="s">
        <v>609</v>
      </c>
      <c r="C559" s="105"/>
      <c r="D559" s="37"/>
      <c r="E559" s="37"/>
      <c r="F559" s="37"/>
      <c r="G559" s="44"/>
      <c r="H559" s="39">
        <v>2.0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109" t="s">
        <v>610</v>
      </c>
      <c r="B560" s="59"/>
      <c r="C560" s="59"/>
      <c r="D560" s="59"/>
      <c r="E560" s="59"/>
      <c r="F560" s="59"/>
      <c r="G560" s="110"/>
      <c r="H560" s="111">
        <f>IF(COUNT(H508:H559)=0,"N/A",SUM((H508:H559))/(COUNT((H508:H559))*2))</f>
        <v>0.75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5.5" customHeight="1">
      <c r="A561" s="6"/>
      <c r="B561" s="6"/>
      <c r="C561" s="6"/>
      <c r="D561" s="6"/>
      <c r="E561" s="6"/>
      <c r="F561" s="112"/>
      <c r="G561" s="4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5.5" customHeight="1">
      <c r="A562" s="6"/>
      <c r="B562" s="6"/>
      <c r="C562" s="6"/>
      <c r="D562" s="6"/>
      <c r="E562" s="6"/>
      <c r="F562" s="112"/>
      <c r="G562" s="4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5.5" customHeight="1">
      <c r="A563" s="6"/>
      <c r="B563" s="6"/>
      <c r="C563" s="6"/>
      <c r="D563" s="6"/>
      <c r="E563" s="6"/>
      <c r="F563" s="112"/>
      <c r="G563" s="4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5.5" customHeight="1">
      <c r="A564" s="6"/>
      <c r="B564" s="6"/>
      <c r="C564" s="6"/>
      <c r="D564" s="6"/>
      <c r="E564" s="6"/>
      <c r="F564" s="112"/>
      <c r="G564" s="4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5.5" customHeight="1">
      <c r="A565" s="6"/>
      <c r="B565" s="6"/>
      <c r="C565" s="6"/>
      <c r="D565" s="6"/>
      <c r="E565" s="6"/>
      <c r="F565" s="112"/>
      <c r="G565" s="4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5.5" customHeight="1">
      <c r="A566" s="6"/>
      <c r="B566" s="6"/>
      <c r="C566" s="6"/>
      <c r="D566" s="6"/>
      <c r="E566" s="6"/>
      <c r="F566" s="112"/>
      <c r="G566" s="4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5.5" customHeight="1">
      <c r="A567" s="6"/>
      <c r="B567" s="6"/>
      <c r="C567" s="6"/>
      <c r="D567" s="6"/>
      <c r="E567" s="6"/>
      <c r="F567" s="112"/>
      <c r="G567" s="4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5.5" customHeight="1">
      <c r="A568" s="6"/>
      <c r="B568" s="6"/>
      <c r="C568" s="6"/>
      <c r="D568" s="6"/>
      <c r="E568" s="6"/>
      <c r="F568" s="112"/>
      <c r="G568" s="4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5.5" customHeight="1">
      <c r="A569" s="6"/>
      <c r="B569" s="6"/>
      <c r="C569" s="6"/>
      <c r="D569" s="6"/>
      <c r="E569" s="6"/>
      <c r="F569" s="112"/>
      <c r="G569" s="4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5.5" customHeight="1">
      <c r="A570" s="6"/>
      <c r="B570" s="6"/>
      <c r="C570" s="6"/>
      <c r="D570" s="6"/>
      <c r="E570" s="6"/>
      <c r="F570" s="112"/>
      <c r="G570" s="4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5.5" customHeight="1">
      <c r="A571" s="6"/>
      <c r="B571" s="6"/>
      <c r="C571" s="6"/>
      <c r="D571" s="6"/>
      <c r="E571" s="6"/>
      <c r="F571" s="112"/>
      <c r="G571" s="4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5.5" customHeight="1">
      <c r="A572" s="6"/>
      <c r="B572" s="6"/>
      <c r="C572" s="6"/>
      <c r="D572" s="6"/>
      <c r="E572" s="6"/>
      <c r="F572" s="112"/>
      <c r="G572" s="4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5.5" customHeight="1">
      <c r="A573" s="6"/>
      <c r="B573" s="6"/>
      <c r="C573" s="6"/>
      <c r="D573" s="6"/>
      <c r="E573" s="6"/>
      <c r="F573" s="112"/>
      <c r="G573" s="4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5.5" customHeight="1">
      <c r="A574" s="6"/>
      <c r="B574" s="6"/>
      <c r="C574" s="6"/>
      <c r="D574" s="6"/>
      <c r="E574" s="6"/>
      <c r="F574" s="112"/>
      <c r="G574" s="4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5.5" customHeight="1">
      <c r="A575" s="6"/>
      <c r="B575" s="6"/>
      <c r="C575" s="6"/>
      <c r="D575" s="6"/>
      <c r="E575" s="6"/>
      <c r="F575" s="112"/>
      <c r="G575" s="4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5.5" customHeight="1">
      <c r="A576" s="6"/>
      <c r="B576" s="6"/>
      <c r="C576" s="6"/>
      <c r="D576" s="6"/>
      <c r="E576" s="6"/>
      <c r="F576" s="112"/>
      <c r="G576" s="4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5.5" customHeight="1">
      <c r="A577" s="6"/>
      <c r="B577" s="6"/>
      <c r="C577" s="6"/>
      <c r="D577" s="6"/>
      <c r="E577" s="6"/>
      <c r="F577" s="112"/>
      <c r="G577" s="4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5.5" customHeight="1">
      <c r="A578" s="6"/>
      <c r="B578" s="6"/>
      <c r="C578" s="6"/>
      <c r="D578" s="6"/>
      <c r="E578" s="6"/>
      <c r="F578" s="112"/>
      <c r="G578" s="4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5.5" customHeight="1">
      <c r="A579" s="6"/>
      <c r="B579" s="6"/>
      <c r="C579" s="6"/>
      <c r="D579" s="6"/>
      <c r="E579" s="6"/>
      <c r="F579" s="112"/>
      <c r="G579" s="4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5.5" customHeight="1">
      <c r="A580" s="6"/>
      <c r="B580" s="6"/>
      <c r="C580" s="6"/>
      <c r="D580" s="6"/>
      <c r="E580" s="6"/>
      <c r="F580" s="112"/>
      <c r="G580" s="4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5.5" customHeight="1">
      <c r="A581" s="6"/>
      <c r="B581" s="6"/>
      <c r="C581" s="6"/>
      <c r="D581" s="6"/>
      <c r="E581" s="6"/>
      <c r="F581" s="112"/>
      <c r="G581" s="4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5.5" customHeight="1">
      <c r="A582" s="6"/>
      <c r="B582" s="6"/>
      <c r="C582" s="6"/>
      <c r="D582" s="6"/>
      <c r="E582" s="6"/>
      <c r="F582" s="112"/>
      <c r="G582" s="4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5.5" customHeight="1">
      <c r="A583" s="6"/>
      <c r="B583" s="6"/>
      <c r="C583" s="6"/>
      <c r="D583" s="6"/>
      <c r="E583" s="6"/>
      <c r="F583" s="112"/>
      <c r="G583" s="4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5.5" customHeight="1">
      <c r="A584" s="6"/>
      <c r="B584" s="6"/>
      <c r="C584" s="6"/>
      <c r="D584" s="6"/>
      <c r="E584" s="6"/>
      <c r="F584" s="112"/>
      <c r="G584" s="4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5.5" customHeight="1">
      <c r="A585" s="6"/>
      <c r="B585" s="6"/>
      <c r="C585" s="6"/>
      <c r="D585" s="6"/>
      <c r="E585" s="6"/>
      <c r="F585" s="112"/>
      <c r="G585" s="4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5.5" customHeight="1">
      <c r="A586" s="6"/>
      <c r="B586" s="6"/>
      <c r="C586" s="6"/>
      <c r="D586" s="6"/>
      <c r="E586" s="6"/>
      <c r="F586" s="112"/>
      <c r="G586" s="4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5.5" customHeight="1">
      <c r="A587" s="6"/>
      <c r="B587" s="6"/>
      <c r="C587" s="6"/>
      <c r="D587" s="6"/>
      <c r="E587" s="6"/>
      <c r="F587" s="112"/>
      <c r="G587" s="4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5.5" customHeight="1">
      <c r="A588" s="6"/>
      <c r="B588" s="6"/>
      <c r="C588" s="6"/>
      <c r="D588" s="6"/>
      <c r="E588" s="6"/>
      <c r="F588" s="112"/>
      <c r="G588" s="4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5.5" customHeight="1">
      <c r="A589" s="6"/>
      <c r="B589" s="6"/>
      <c r="C589" s="6"/>
      <c r="D589" s="6"/>
      <c r="E589" s="6"/>
      <c r="F589" s="112"/>
      <c r="G589" s="4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5.5" customHeight="1">
      <c r="A590" s="6"/>
      <c r="B590" s="6"/>
      <c r="C590" s="6"/>
      <c r="D590" s="6"/>
      <c r="E590" s="6"/>
      <c r="F590" s="112"/>
      <c r="G590" s="4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5.5" customHeight="1">
      <c r="A591" s="6"/>
      <c r="B591" s="6"/>
      <c r="C591" s="6"/>
      <c r="D591" s="6"/>
      <c r="E591" s="6"/>
      <c r="F591" s="112"/>
      <c r="G591" s="4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5.5" customHeight="1">
      <c r="A592" s="6"/>
      <c r="B592" s="6"/>
      <c r="C592" s="6"/>
      <c r="D592" s="6"/>
      <c r="E592" s="6"/>
      <c r="F592" s="112"/>
      <c r="G592" s="4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5.5" customHeight="1">
      <c r="A593" s="6"/>
      <c r="B593" s="6"/>
      <c r="C593" s="6"/>
      <c r="D593" s="6"/>
      <c r="E593" s="6"/>
      <c r="F593" s="112"/>
      <c r="G593" s="4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5.5" customHeight="1">
      <c r="A594" s="6"/>
      <c r="B594" s="6"/>
      <c r="C594" s="6"/>
      <c r="D594" s="6"/>
      <c r="E594" s="6"/>
      <c r="F594" s="112"/>
      <c r="G594" s="4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5.5" customHeight="1">
      <c r="A595" s="6"/>
      <c r="B595" s="6"/>
      <c r="C595" s="6"/>
      <c r="D595" s="6"/>
      <c r="E595" s="6"/>
      <c r="F595" s="112"/>
      <c r="G595" s="4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5.5" customHeight="1">
      <c r="A596" s="6"/>
      <c r="B596" s="6"/>
      <c r="C596" s="6"/>
      <c r="D596" s="6"/>
      <c r="E596" s="6"/>
      <c r="F596" s="112"/>
      <c r="G596" s="4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5.5" customHeight="1">
      <c r="A597" s="6"/>
      <c r="B597" s="6"/>
      <c r="C597" s="6"/>
      <c r="D597" s="6"/>
      <c r="E597" s="6"/>
      <c r="F597" s="112"/>
      <c r="G597" s="4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5.5" customHeight="1">
      <c r="A598" s="6"/>
      <c r="B598" s="6"/>
      <c r="C598" s="6"/>
      <c r="D598" s="6"/>
      <c r="E598" s="6"/>
      <c r="F598" s="112"/>
      <c r="G598" s="4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5.5" customHeight="1">
      <c r="A599" s="6"/>
      <c r="B599" s="6"/>
      <c r="C599" s="6"/>
      <c r="D599" s="6"/>
      <c r="E599" s="6"/>
      <c r="F599" s="112"/>
      <c r="G599" s="4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5.5" customHeight="1">
      <c r="A600" s="6"/>
      <c r="B600" s="6"/>
      <c r="C600" s="6"/>
      <c r="D600" s="6"/>
      <c r="E600" s="6"/>
      <c r="F600" s="112"/>
      <c r="G600" s="4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5.5" customHeight="1">
      <c r="A601" s="6"/>
      <c r="B601" s="6"/>
      <c r="C601" s="6"/>
      <c r="D601" s="6"/>
      <c r="E601" s="6"/>
      <c r="F601" s="112"/>
      <c r="G601" s="4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5.5" customHeight="1">
      <c r="A602" s="6"/>
      <c r="B602" s="6"/>
      <c r="C602" s="6"/>
      <c r="D602" s="6"/>
      <c r="E602" s="6"/>
      <c r="F602" s="112"/>
      <c r="G602" s="4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5.5" customHeight="1">
      <c r="A603" s="6"/>
      <c r="B603" s="6"/>
      <c r="C603" s="6"/>
      <c r="D603" s="6"/>
      <c r="E603" s="6"/>
      <c r="F603" s="112"/>
      <c r="G603" s="4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5.5" customHeight="1">
      <c r="A604" s="6"/>
      <c r="B604" s="6"/>
      <c r="C604" s="6"/>
      <c r="D604" s="6"/>
      <c r="E604" s="6"/>
      <c r="F604" s="112"/>
      <c r="G604" s="4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5.5" customHeight="1">
      <c r="A605" s="6"/>
      <c r="B605" s="6"/>
      <c r="C605" s="6"/>
      <c r="D605" s="6"/>
      <c r="E605" s="6"/>
      <c r="F605" s="112"/>
      <c r="G605" s="4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5.5" customHeight="1">
      <c r="A606" s="6"/>
      <c r="B606" s="6"/>
      <c r="C606" s="6"/>
      <c r="D606" s="6"/>
      <c r="E606" s="6"/>
      <c r="F606" s="112"/>
      <c r="G606" s="4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5.5" customHeight="1">
      <c r="A607" s="6"/>
      <c r="B607" s="6"/>
      <c r="C607" s="6"/>
      <c r="D607" s="6"/>
      <c r="E607" s="6"/>
      <c r="F607" s="112"/>
      <c r="G607" s="4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5.5" customHeight="1">
      <c r="A608" s="6"/>
      <c r="B608" s="6"/>
      <c r="C608" s="6"/>
      <c r="D608" s="6"/>
      <c r="E608" s="6"/>
      <c r="F608" s="112"/>
      <c r="G608" s="4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5.5" customHeight="1">
      <c r="A609" s="6"/>
      <c r="B609" s="6"/>
      <c r="C609" s="6"/>
      <c r="D609" s="6"/>
      <c r="E609" s="6"/>
      <c r="F609" s="112"/>
      <c r="G609" s="4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5.5" customHeight="1">
      <c r="A610" s="6"/>
      <c r="B610" s="6"/>
      <c r="C610" s="6"/>
      <c r="D610" s="6"/>
      <c r="E610" s="6"/>
      <c r="F610" s="112"/>
      <c r="G610" s="4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5.5" customHeight="1">
      <c r="A611" s="6"/>
      <c r="B611" s="6"/>
      <c r="C611" s="6"/>
      <c r="D611" s="6"/>
      <c r="E611" s="6"/>
      <c r="F611" s="112"/>
      <c r="G611" s="4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5.5" customHeight="1">
      <c r="A612" s="6"/>
      <c r="B612" s="6"/>
      <c r="C612" s="6"/>
      <c r="D612" s="6"/>
      <c r="E612" s="6"/>
      <c r="F612" s="112"/>
      <c r="G612" s="4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5.5" customHeight="1">
      <c r="A613" s="6"/>
      <c r="B613" s="6"/>
      <c r="C613" s="6"/>
      <c r="D613" s="6"/>
      <c r="E613" s="6"/>
      <c r="F613" s="112"/>
      <c r="G613" s="4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5.5" customHeight="1">
      <c r="A614" s="6"/>
      <c r="B614" s="6"/>
      <c r="C614" s="6"/>
      <c r="D614" s="6"/>
      <c r="E614" s="6"/>
      <c r="F614" s="112"/>
      <c r="G614" s="4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5.5" customHeight="1">
      <c r="A615" s="6"/>
      <c r="B615" s="6"/>
      <c r="C615" s="6"/>
      <c r="D615" s="6"/>
      <c r="E615" s="6"/>
      <c r="F615" s="112"/>
      <c r="G615" s="4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5.5" customHeight="1">
      <c r="A616" s="6"/>
      <c r="B616" s="6"/>
      <c r="C616" s="6"/>
      <c r="D616" s="6"/>
      <c r="E616" s="6"/>
      <c r="F616" s="112"/>
      <c r="G616" s="4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5.5" customHeight="1">
      <c r="A617" s="6"/>
      <c r="B617" s="6"/>
      <c r="C617" s="6"/>
      <c r="D617" s="6"/>
      <c r="E617" s="6"/>
      <c r="F617" s="112"/>
      <c r="G617" s="4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5.5" customHeight="1">
      <c r="A618" s="6"/>
      <c r="B618" s="6"/>
      <c r="C618" s="6"/>
      <c r="D618" s="6"/>
      <c r="E618" s="6"/>
      <c r="F618" s="112"/>
      <c r="G618" s="4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5.5" customHeight="1">
      <c r="A619" s="6"/>
      <c r="B619" s="6"/>
      <c r="C619" s="6"/>
      <c r="D619" s="6"/>
      <c r="E619" s="6"/>
      <c r="F619" s="112"/>
      <c r="G619" s="4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5.5" customHeight="1">
      <c r="A620" s="6"/>
      <c r="B620" s="6"/>
      <c r="C620" s="6"/>
      <c r="D620" s="6"/>
      <c r="E620" s="6"/>
      <c r="F620" s="112"/>
      <c r="G620" s="4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5.5" customHeight="1">
      <c r="A621" s="6"/>
      <c r="B621" s="6"/>
      <c r="C621" s="6"/>
      <c r="D621" s="6"/>
      <c r="E621" s="6"/>
      <c r="F621" s="112"/>
      <c r="G621" s="4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5.5" customHeight="1">
      <c r="A622" s="6"/>
      <c r="B622" s="6"/>
      <c r="C622" s="6"/>
      <c r="D622" s="6"/>
      <c r="E622" s="6"/>
      <c r="F622" s="112"/>
      <c r="G622" s="4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5.5" customHeight="1">
      <c r="A623" s="6"/>
      <c r="B623" s="6"/>
      <c r="C623" s="6"/>
      <c r="D623" s="6"/>
      <c r="E623" s="6"/>
      <c r="F623" s="112"/>
      <c r="G623" s="4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5.5" customHeight="1">
      <c r="A624" s="6"/>
      <c r="B624" s="6"/>
      <c r="C624" s="6"/>
      <c r="D624" s="6"/>
      <c r="E624" s="6"/>
      <c r="F624" s="112"/>
      <c r="G624" s="4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5.5" customHeight="1">
      <c r="A625" s="6"/>
      <c r="B625" s="6"/>
      <c r="C625" s="6"/>
      <c r="D625" s="6"/>
      <c r="E625" s="6"/>
      <c r="F625" s="112"/>
      <c r="G625" s="4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5.5" customHeight="1">
      <c r="A626" s="6"/>
      <c r="B626" s="6"/>
      <c r="C626" s="6"/>
      <c r="D626" s="6"/>
      <c r="E626" s="6"/>
      <c r="F626" s="112"/>
      <c r="G626" s="4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5.5" customHeight="1">
      <c r="A627" s="6"/>
      <c r="B627" s="6"/>
      <c r="C627" s="6"/>
      <c r="D627" s="6"/>
      <c r="E627" s="6"/>
      <c r="F627" s="112"/>
      <c r="G627" s="4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5.5" customHeight="1">
      <c r="A628" s="6"/>
      <c r="B628" s="6"/>
      <c r="C628" s="6"/>
      <c r="D628" s="6"/>
      <c r="E628" s="6"/>
      <c r="F628" s="112"/>
      <c r="G628" s="4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5.5" customHeight="1">
      <c r="A629" s="6"/>
      <c r="B629" s="6"/>
      <c r="C629" s="6"/>
      <c r="D629" s="6"/>
      <c r="E629" s="6"/>
      <c r="F629" s="112"/>
      <c r="G629" s="4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5.5" customHeight="1">
      <c r="A630" s="6"/>
      <c r="B630" s="6"/>
      <c r="C630" s="6"/>
      <c r="D630" s="6"/>
      <c r="E630" s="6"/>
      <c r="F630" s="112"/>
      <c r="G630" s="4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5.5" customHeight="1">
      <c r="A631" s="6"/>
      <c r="B631" s="6"/>
      <c r="C631" s="6"/>
      <c r="D631" s="6"/>
      <c r="E631" s="6"/>
      <c r="F631" s="112"/>
      <c r="G631" s="4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5.5" customHeight="1">
      <c r="A632" s="6"/>
      <c r="B632" s="6"/>
      <c r="C632" s="6"/>
      <c r="D632" s="6"/>
      <c r="E632" s="6"/>
      <c r="F632" s="112"/>
      <c r="G632" s="4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5.5" customHeight="1">
      <c r="A633" s="6"/>
      <c r="B633" s="6"/>
      <c r="C633" s="6"/>
      <c r="D633" s="6"/>
      <c r="E633" s="6"/>
      <c r="F633" s="112"/>
      <c r="G633" s="4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5.5" customHeight="1">
      <c r="A634" s="6"/>
      <c r="B634" s="6"/>
      <c r="C634" s="6"/>
      <c r="D634" s="6"/>
      <c r="E634" s="6"/>
      <c r="F634" s="112"/>
      <c r="G634" s="4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5.5" customHeight="1">
      <c r="A635" s="6"/>
      <c r="B635" s="6"/>
      <c r="C635" s="6"/>
      <c r="D635" s="6"/>
      <c r="E635" s="6"/>
      <c r="F635" s="112"/>
      <c r="G635" s="4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5.5" customHeight="1">
      <c r="A636" s="6"/>
      <c r="B636" s="6"/>
      <c r="C636" s="6"/>
      <c r="D636" s="6"/>
      <c r="E636" s="6"/>
      <c r="F636" s="112"/>
      <c r="G636" s="4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5.5" customHeight="1">
      <c r="A637" s="6"/>
      <c r="B637" s="6"/>
      <c r="C637" s="6"/>
      <c r="D637" s="6"/>
      <c r="E637" s="6"/>
      <c r="F637" s="112"/>
      <c r="G637" s="4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5.5" customHeight="1">
      <c r="A638" s="6"/>
      <c r="B638" s="6"/>
      <c r="C638" s="6"/>
      <c r="D638" s="6"/>
      <c r="E638" s="6"/>
      <c r="F638" s="112"/>
      <c r="G638" s="4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5.5" customHeight="1">
      <c r="A639" s="6"/>
      <c r="B639" s="6"/>
      <c r="C639" s="6"/>
      <c r="D639" s="6"/>
      <c r="E639" s="6"/>
      <c r="F639" s="112"/>
      <c r="G639" s="4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5.5" customHeight="1">
      <c r="A640" s="6"/>
      <c r="B640" s="6"/>
      <c r="C640" s="6"/>
      <c r="D640" s="6"/>
      <c r="E640" s="6"/>
      <c r="F640" s="112"/>
      <c r="G640" s="4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5.5" customHeight="1">
      <c r="A641" s="6"/>
      <c r="B641" s="6"/>
      <c r="C641" s="6"/>
      <c r="D641" s="6"/>
      <c r="E641" s="6"/>
      <c r="F641" s="112"/>
      <c r="G641" s="4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5.5" customHeight="1">
      <c r="A642" s="6"/>
      <c r="B642" s="6"/>
      <c r="C642" s="6"/>
      <c r="D642" s="6"/>
      <c r="E642" s="6"/>
      <c r="F642" s="112"/>
      <c r="G642" s="4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5.5" customHeight="1">
      <c r="A643" s="6"/>
      <c r="B643" s="6"/>
      <c r="C643" s="6"/>
      <c r="D643" s="6"/>
      <c r="E643" s="6"/>
      <c r="F643" s="112"/>
      <c r="G643" s="4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5.5" customHeight="1">
      <c r="A644" s="6"/>
      <c r="B644" s="6"/>
      <c r="C644" s="6"/>
      <c r="D644" s="6"/>
      <c r="E644" s="6"/>
      <c r="F644" s="112"/>
      <c r="G644" s="4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5.5" customHeight="1">
      <c r="A645" s="6"/>
      <c r="B645" s="6"/>
      <c r="C645" s="6"/>
      <c r="D645" s="6"/>
      <c r="E645" s="6"/>
      <c r="F645" s="112"/>
      <c r="G645" s="4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5.5" customHeight="1">
      <c r="A646" s="6"/>
      <c r="B646" s="6"/>
      <c r="C646" s="6"/>
      <c r="D646" s="6"/>
      <c r="E646" s="6"/>
      <c r="F646" s="112"/>
      <c r="G646" s="4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5.5" customHeight="1">
      <c r="A647" s="6"/>
      <c r="B647" s="6"/>
      <c r="C647" s="6"/>
      <c r="D647" s="6"/>
      <c r="E647" s="6"/>
      <c r="F647" s="112"/>
      <c r="G647" s="4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5.5" customHeight="1">
      <c r="A648" s="6"/>
      <c r="B648" s="6"/>
      <c r="C648" s="6"/>
      <c r="D648" s="6"/>
      <c r="E648" s="6"/>
      <c r="F648" s="112"/>
      <c r="G648" s="4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5.5" customHeight="1">
      <c r="A649" s="6"/>
      <c r="B649" s="6"/>
      <c r="C649" s="6"/>
      <c r="D649" s="6"/>
      <c r="E649" s="6"/>
      <c r="F649" s="112"/>
      <c r="G649" s="4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5.5" customHeight="1">
      <c r="A650" s="6"/>
      <c r="B650" s="6"/>
      <c r="C650" s="6"/>
      <c r="D650" s="6"/>
      <c r="E650" s="6"/>
      <c r="F650" s="112"/>
      <c r="G650" s="4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5.5" customHeight="1">
      <c r="A651" s="6"/>
      <c r="B651" s="6"/>
      <c r="C651" s="6"/>
      <c r="D651" s="6"/>
      <c r="E651" s="6"/>
      <c r="F651" s="112"/>
      <c r="G651" s="4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5.5" customHeight="1">
      <c r="A652" s="6"/>
      <c r="B652" s="6"/>
      <c r="C652" s="6"/>
      <c r="D652" s="6"/>
      <c r="E652" s="6"/>
      <c r="F652" s="112"/>
      <c r="G652" s="4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5.5" customHeight="1">
      <c r="A653" s="6"/>
      <c r="B653" s="6"/>
      <c r="C653" s="6"/>
      <c r="D653" s="6"/>
      <c r="E653" s="6"/>
      <c r="F653" s="112"/>
      <c r="G653" s="4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5.5" customHeight="1">
      <c r="A654" s="6"/>
      <c r="B654" s="6"/>
      <c r="C654" s="6"/>
      <c r="D654" s="6"/>
      <c r="E654" s="6"/>
      <c r="F654" s="112"/>
      <c r="G654" s="4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5.5" customHeight="1">
      <c r="A655" s="6"/>
      <c r="B655" s="6"/>
      <c r="C655" s="6"/>
      <c r="D655" s="6"/>
      <c r="E655" s="6"/>
      <c r="F655" s="112"/>
      <c r="G655" s="4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5.5" customHeight="1">
      <c r="A656" s="6"/>
      <c r="B656" s="6"/>
      <c r="C656" s="6"/>
      <c r="D656" s="6"/>
      <c r="E656" s="6"/>
      <c r="F656" s="112"/>
      <c r="G656" s="4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5.5" customHeight="1">
      <c r="A657" s="6"/>
      <c r="B657" s="6"/>
      <c r="C657" s="6"/>
      <c r="D657" s="6"/>
      <c r="E657" s="6"/>
      <c r="F657" s="112"/>
      <c r="G657" s="4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5.5" customHeight="1">
      <c r="A658" s="6"/>
      <c r="B658" s="6"/>
      <c r="C658" s="6"/>
      <c r="D658" s="6"/>
      <c r="E658" s="6"/>
      <c r="F658" s="112"/>
      <c r="G658" s="4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5.5" customHeight="1">
      <c r="A659" s="6"/>
      <c r="B659" s="6"/>
      <c r="C659" s="6"/>
      <c r="D659" s="6"/>
      <c r="E659" s="6"/>
      <c r="F659" s="112"/>
      <c r="G659" s="4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5.5" customHeight="1">
      <c r="A660" s="6"/>
      <c r="B660" s="6"/>
      <c r="C660" s="6"/>
      <c r="D660" s="6"/>
      <c r="E660" s="6"/>
      <c r="F660" s="112"/>
      <c r="G660" s="4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5.5" customHeight="1">
      <c r="A661" s="6"/>
      <c r="B661" s="6"/>
      <c r="C661" s="6"/>
      <c r="D661" s="6"/>
      <c r="E661" s="6"/>
      <c r="F661" s="112"/>
      <c r="G661" s="4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5.5" customHeight="1">
      <c r="A662" s="6"/>
      <c r="B662" s="6"/>
      <c r="C662" s="6"/>
      <c r="D662" s="6"/>
      <c r="E662" s="6"/>
      <c r="F662" s="112"/>
      <c r="G662" s="4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5.5" customHeight="1">
      <c r="A663" s="6"/>
      <c r="B663" s="6"/>
      <c r="C663" s="6"/>
      <c r="D663" s="6"/>
      <c r="E663" s="6"/>
      <c r="F663" s="112"/>
      <c r="G663" s="4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5.5" customHeight="1">
      <c r="A664" s="6"/>
      <c r="B664" s="6"/>
      <c r="C664" s="6"/>
      <c r="D664" s="6"/>
      <c r="E664" s="6"/>
      <c r="F664" s="112"/>
      <c r="G664" s="4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5.5" customHeight="1">
      <c r="A665" s="6"/>
      <c r="B665" s="6"/>
      <c r="C665" s="6"/>
      <c r="D665" s="6"/>
      <c r="E665" s="6"/>
      <c r="F665" s="112"/>
      <c r="G665" s="4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5.5" customHeight="1">
      <c r="A666" s="6"/>
      <c r="B666" s="6"/>
      <c r="C666" s="6"/>
      <c r="D666" s="6"/>
      <c r="E666" s="6"/>
      <c r="F666" s="112"/>
      <c r="G666" s="4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5.5" customHeight="1">
      <c r="A667" s="6"/>
      <c r="B667" s="6"/>
      <c r="C667" s="6"/>
      <c r="D667" s="6"/>
      <c r="E667" s="6"/>
      <c r="F667" s="112"/>
      <c r="G667" s="4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5.5" customHeight="1">
      <c r="A668" s="6"/>
      <c r="B668" s="6"/>
      <c r="C668" s="6"/>
      <c r="D668" s="6"/>
      <c r="E668" s="6"/>
      <c r="F668" s="112"/>
      <c r="G668" s="4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5.5" customHeight="1">
      <c r="A669" s="6"/>
      <c r="B669" s="6"/>
      <c r="C669" s="6"/>
      <c r="D669" s="6"/>
      <c r="E669" s="6"/>
      <c r="F669" s="112"/>
      <c r="G669" s="4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5.5" customHeight="1">
      <c r="A670" s="6"/>
      <c r="B670" s="6"/>
      <c r="C670" s="6"/>
      <c r="D670" s="6"/>
      <c r="E670" s="6"/>
      <c r="F670" s="112"/>
      <c r="G670" s="4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5.5" customHeight="1">
      <c r="A671" s="6"/>
      <c r="B671" s="6"/>
      <c r="C671" s="6"/>
      <c r="D671" s="6"/>
      <c r="E671" s="6"/>
      <c r="F671" s="112"/>
      <c r="G671" s="4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5.5" customHeight="1">
      <c r="A672" s="6"/>
      <c r="B672" s="6"/>
      <c r="C672" s="6"/>
      <c r="D672" s="6"/>
      <c r="E672" s="6"/>
      <c r="F672" s="112"/>
      <c r="G672" s="4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5.5" customHeight="1">
      <c r="A673" s="6"/>
      <c r="B673" s="6"/>
      <c r="C673" s="6"/>
      <c r="D673" s="6"/>
      <c r="E673" s="6"/>
      <c r="F673" s="112"/>
      <c r="G673" s="4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5.5" customHeight="1">
      <c r="A674" s="6"/>
      <c r="B674" s="6"/>
      <c r="C674" s="6"/>
      <c r="D674" s="6"/>
      <c r="E674" s="6"/>
      <c r="F674" s="112"/>
      <c r="G674" s="4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5.5" customHeight="1">
      <c r="A675" s="6"/>
      <c r="B675" s="6"/>
      <c r="C675" s="6"/>
      <c r="D675" s="6"/>
      <c r="E675" s="6"/>
      <c r="F675" s="112"/>
      <c r="G675" s="4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5.5" customHeight="1">
      <c r="A676" s="6"/>
      <c r="B676" s="6"/>
      <c r="C676" s="6"/>
      <c r="D676" s="6"/>
      <c r="E676" s="6"/>
      <c r="F676" s="112"/>
      <c r="G676" s="4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5.5" customHeight="1">
      <c r="A677" s="6"/>
      <c r="B677" s="6"/>
      <c r="C677" s="6"/>
      <c r="D677" s="6"/>
      <c r="E677" s="6"/>
      <c r="F677" s="112"/>
      <c r="G677" s="4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5.5" customHeight="1">
      <c r="A678" s="6"/>
      <c r="B678" s="6"/>
      <c r="C678" s="6"/>
      <c r="D678" s="6"/>
      <c r="E678" s="6"/>
      <c r="F678" s="112"/>
      <c r="G678" s="4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5.5" customHeight="1">
      <c r="A679" s="6"/>
      <c r="B679" s="6"/>
      <c r="C679" s="6"/>
      <c r="D679" s="6"/>
      <c r="E679" s="6"/>
      <c r="F679" s="112"/>
      <c r="G679" s="4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5.5" customHeight="1">
      <c r="A680" s="6"/>
      <c r="B680" s="6"/>
      <c r="C680" s="6"/>
      <c r="D680" s="6"/>
      <c r="E680" s="6"/>
      <c r="F680" s="112"/>
      <c r="G680" s="4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5.5" customHeight="1">
      <c r="A681" s="6"/>
      <c r="B681" s="6"/>
      <c r="C681" s="6"/>
      <c r="D681" s="6"/>
      <c r="E681" s="6"/>
      <c r="F681" s="112"/>
      <c r="G681" s="4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5.5" customHeight="1">
      <c r="A682" s="6"/>
      <c r="B682" s="6"/>
      <c r="C682" s="6"/>
      <c r="D682" s="6"/>
      <c r="E682" s="6"/>
      <c r="F682" s="112"/>
      <c r="G682" s="4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5.5" customHeight="1">
      <c r="A683" s="6"/>
      <c r="B683" s="6"/>
      <c r="C683" s="6"/>
      <c r="D683" s="6"/>
      <c r="E683" s="6"/>
      <c r="F683" s="112"/>
      <c r="G683" s="4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5.5" customHeight="1">
      <c r="A684" s="6"/>
      <c r="B684" s="6"/>
      <c r="C684" s="6"/>
      <c r="D684" s="6"/>
      <c r="E684" s="6"/>
      <c r="F684" s="112"/>
      <c r="G684" s="4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5.5" customHeight="1">
      <c r="A685" s="6"/>
      <c r="B685" s="6"/>
      <c r="C685" s="6"/>
      <c r="D685" s="6"/>
      <c r="E685" s="6"/>
      <c r="F685" s="112"/>
      <c r="G685" s="4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5.5" customHeight="1">
      <c r="A686" s="6"/>
      <c r="B686" s="6"/>
      <c r="C686" s="6"/>
      <c r="D686" s="6"/>
      <c r="E686" s="6"/>
      <c r="F686" s="112"/>
      <c r="G686" s="4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5.5" customHeight="1">
      <c r="A687" s="6"/>
      <c r="B687" s="6"/>
      <c r="C687" s="6"/>
      <c r="D687" s="6"/>
      <c r="E687" s="6"/>
      <c r="F687" s="112"/>
      <c r="G687" s="4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5.5" customHeight="1">
      <c r="A688" s="6"/>
      <c r="B688" s="6"/>
      <c r="C688" s="6"/>
      <c r="D688" s="6"/>
      <c r="E688" s="6"/>
      <c r="F688" s="112"/>
      <c r="G688" s="4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5.5" customHeight="1">
      <c r="A689" s="6"/>
      <c r="B689" s="6"/>
      <c r="C689" s="6"/>
      <c r="D689" s="6"/>
      <c r="E689" s="6"/>
      <c r="F689" s="112"/>
      <c r="G689" s="4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5.5" customHeight="1">
      <c r="A690" s="6"/>
      <c r="B690" s="6"/>
      <c r="C690" s="6"/>
      <c r="D690" s="6"/>
      <c r="E690" s="6"/>
      <c r="F690" s="112"/>
      <c r="G690" s="4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5.5" customHeight="1">
      <c r="A691" s="6"/>
      <c r="B691" s="6"/>
      <c r="C691" s="6"/>
      <c r="D691" s="6"/>
      <c r="E691" s="6"/>
      <c r="F691" s="112"/>
      <c r="G691" s="4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5.5" customHeight="1">
      <c r="A692" s="6"/>
      <c r="B692" s="6"/>
      <c r="C692" s="6"/>
      <c r="D692" s="6"/>
      <c r="E692" s="6"/>
      <c r="F692" s="112"/>
      <c r="G692" s="4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5.5" customHeight="1">
      <c r="A693" s="6"/>
      <c r="B693" s="6"/>
      <c r="C693" s="6"/>
      <c r="D693" s="6"/>
      <c r="E693" s="6"/>
      <c r="F693" s="112"/>
      <c r="G693" s="4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5.5" customHeight="1">
      <c r="A694" s="6"/>
      <c r="B694" s="6"/>
      <c r="C694" s="6"/>
      <c r="D694" s="6"/>
      <c r="E694" s="6"/>
      <c r="F694" s="112"/>
      <c r="G694" s="4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5.5" customHeight="1">
      <c r="A695" s="6"/>
      <c r="B695" s="6"/>
      <c r="C695" s="6"/>
      <c r="D695" s="6"/>
      <c r="E695" s="6"/>
      <c r="F695" s="112"/>
      <c r="G695" s="4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5.5" customHeight="1">
      <c r="A696" s="6"/>
      <c r="B696" s="6"/>
      <c r="C696" s="6"/>
      <c r="D696" s="6"/>
      <c r="E696" s="6"/>
      <c r="F696" s="112"/>
      <c r="G696" s="4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5.5" customHeight="1">
      <c r="A697" s="6"/>
      <c r="B697" s="6"/>
      <c r="C697" s="6"/>
      <c r="D697" s="6"/>
      <c r="E697" s="6"/>
      <c r="F697" s="112"/>
      <c r="G697" s="4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5.5" customHeight="1">
      <c r="A698" s="6"/>
      <c r="B698" s="6"/>
      <c r="C698" s="6"/>
      <c r="D698" s="6"/>
      <c r="E698" s="6"/>
      <c r="F698" s="112"/>
      <c r="G698" s="4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5.5" customHeight="1">
      <c r="A699" s="6"/>
      <c r="B699" s="6"/>
      <c r="C699" s="6"/>
      <c r="D699" s="6"/>
      <c r="E699" s="6"/>
      <c r="F699" s="112"/>
      <c r="G699" s="4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5.5" customHeight="1">
      <c r="A700" s="6"/>
      <c r="B700" s="6"/>
      <c r="C700" s="6"/>
      <c r="D700" s="6"/>
      <c r="E700" s="6"/>
      <c r="F700" s="112"/>
      <c r="G700" s="4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5.5" customHeight="1">
      <c r="A701" s="6"/>
      <c r="B701" s="6"/>
      <c r="C701" s="6"/>
      <c r="D701" s="6"/>
      <c r="E701" s="6"/>
      <c r="F701" s="112"/>
      <c r="G701" s="4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5.5" customHeight="1">
      <c r="A702" s="6"/>
      <c r="B702" s="6"/>
      <c r="C702" s="6"/>
      <c r="D702" s="6"/>
      <c r="E702" s="6"/>
      <c r="F702" s="112"/>
      <c r="G702" s="4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5.5" customHeight="1">
      <c r="A703" s="6"/>
      <c r="B703" s="6"/>
      <c r="C703" s="6"/>
      <c r="D703" s="6"/>
      <c r="E703" s="6"/>
      <c r="F703" s="112"/>
      <c r="G703" s="4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5.5" customHeight="1">
      <c r="A704" s="6"/>
      <c r="B704" s="6"/>
      <c r="C704" s="6"/>
      <c r="D704" s="6"/>
      <c r="E704" s="6"/>
      <c r="F704" s="112"/>
      <c r="G704" s="4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5.5" customHeight="1">
      <c r="A705" s="6"/>
      <c r="B705" s="6"/>
      <c r="C705" s="6"/>
      <c r="D705" s="6"/>
      <c r="E705" s="6"/>
      <c r="F705" s="112"/>
      <c r="G705" s="4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5.5" customHeight="1">
      <c r="A706" s="6"/>
      <c r="B706" s="6"/>
      <c r="C706" s="6"/>
      <c r="D706" s="6"/>
      <c r="E706" s="6"/>
      <c r="F706" s="112"/>
      <c r="G706" s="4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5.5" customHeight="1">
      <c r="A707" s="6"/>
      <c r="B707" s="6"/>
      <c r="C707" s="6"/>
      <c r="D707" s="6"/>
      <c r="E707" s="6"/>
      <c r="F707" s="112"/>
      <c r="G707" s="4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5.5" customHeight="1">
      <c r="A708" s="6"/>
      <c r="B708" s="6"/>
      <c r="C708" s="6"/>
      <c r="D708" s="6"/>
      <c r="E708" s="6"/>
      <c r="F708" s="112"/>
      <c r="G708" s="4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5.5" customHeight="1">
      <c r="A709" s="6"/>
      <c r="B709" s="6"/>
      <c r="C709" s="6"/>
      <c r="D709" s="6"/>
      <c r="E709" s="6"/>
      <c r="F709" s="112"/>
      <c r="G709" s="4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5.5" customHeight="1">
      <c r="A710" s="6"/>
      <c r="B710" s="6"/>
      <c r="C710" s="6"/>
      <c r="D710" s="6"/>
      <c r="E710" s="6"/>
      <c r="F710" s="112"/>
      <c r="G710" s="4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5.5" customHeight="1">
      <c r="A711" s="6"/>
      <c r="B711" s="6"/>
      <c r="C711" s="6"/>
      <c r="D711" s="6"/>
      <c r="E711" s="6"/>
      <c r="F711" s="112"/>
      <c r="G711" s="4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5.5" customHeight="1">
      <c r="A712" s="6"/>
      <c r="B712" s="6"/>
      <c r="C712" s="6"/>
      <c r="D712" s="6"/>
      <c r="E712" s="6"/>
      <c r="F712" s="112"/>
      <c r="G712" s="4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5.5" customHeight="1">
      <c r="A713" s="6"/>
      <c r="B713" s="6"/>
      <c r="C713" s="6"/>
      <c r="D713" s="6"/>
      <c r="E713" s="6"/>
      <c r="F713" s="112"/>
      <c r="G713" s="4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5.5" customHeight="1">
      <c r="A714" s="6"/>
      <c r="B714" s="6"/>
      <c r="C714" s="6"/>
      <c r="D714" s="6"/>
      <c r="E714" s="6"/>
      <c r="F714" s="112"/>
      <c r="G714" s="4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5.5" customHeight="1">
      <c r="A715" s="6"/>
      <c r="B715" s="6"/>
      <c r="C715" s="6"/>
      <c r="D715" s="6"/>
      <c r="E715" s="6"/>
      <c r="F715" s="112"/>
      <c r="G715" s="4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5.5" customHeight="1">
      <c r="A716" s="6"/>
      <c r="B716" s="6"/>
      <c r="C716" s="6"/>
      <c r="D716" s="6"/>
      <c r="E716" s="6"/>
      <c r="F716" s="112"/>
      <c r="G716" s="4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5.5" customHeight="1">
      <c r="A717" s="6"/>
      <c r="B717" s="6"/>
      <c r="C717" s="6"/>
      <c r="D717" s="6"/>
      <c r="E717" s="6"/>
      <c r="F717" s="112"/>
      <c r="G717" s="4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5.5" customHeight="1">
      <c r="A718" s="6"/>
      <c r="B718" s="6"/>
      <c r="C718" s="6"/>
      <c r="D718" s="6"/>
      <c r="E718" s="6"/>
      <c r="F718" s="112"/>
      <c r="G718" s="4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5.5" customHeight="1">
      <c r="A719" s="6"/>
      <c r="B719" s="6"/>
      <c r="C719" s="6"/>
      <c r="D719" s="6"/>
      <c r="E719" s="6"/>
      <c r="F719" s="112"/>
      <c r="G719" s="4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5.5" customHeight="1">
      <c r="A720" s="6"/>
      <c r="B720" s="6"/>
      <c r="C720" s="6"/>
      <c r="D720" s="6"/>
      <c r="E720" s="6"/>
      <c r="F720" s="112"/>
      <c r="G720" s="4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5.5" customHeight="1">
      <c r="A721" s="6"/>
      <c r="B721" s="6"/>
      <c r="C721" s="6"/>
      <c r="D721" s="6"/>
      <c r="E721" s="6"/>
      <c r="F721" s="112"/>
      <c r="G721" s="4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5.5" customHeight="1">
      <c r="A722" s="6"/>
      <c r="B722" s="6"/>
      <c r="C722" s="6"/>
      <c r="D722" s="6"/>
      <c r="E722" s="6"/>
      <c r="F722" s="112"/>
      <c r="G722" s="4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5.5" customHeight="1">
      <c r="A723" s="6"/>
      <c r="B723" s="6"/>
      <c r="C723" s="6"/>
      <c r="D723" s="6"/>
      <c r="E723" s="6"/>
      <c r="F723" s="112"/>
      <c r="G723" s="4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5.5" customHeight="1">
      <c r="A724" s="6"/>
      <c r="B724" s="6"/>
      <c r="C724" s="6"/>
      <c r="D724" s="6"/>
      <c r="E724" s="6"/>
      <c r="F724" s="112"/>
      <c r="G724" s="4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5.5" customHeight="1">
      <c r="A725" s="6"/>
      <c r="B725" s="6"/>
      <c r="C725" s="6"/>
      <c r="D725" s="6"/>
      <c r="E725" s="6"/>
      <c r="F725" s="112"/>
      <c r="G725" s="4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5.5" customHeight="1">
      <c r="A726" s="6"/>
      <c r="B726" s="6"/>
      <c r="C726" s="6"/>
      <c r="D726" s="6"/>
      <c r="E726" s="6"/>
      <c r="F726" s="112"/>
      <c r="G726" s="4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5.5" customHeight="1">
      <c r="A727" s="6"/>
      <c r="B727" s="6"/>
      <c r="C727" s="6"/>
      <c r="D727" s="6"/>
      <c r="E727" s="6"/>
      <c r="F727" s="112"/>
      <c r="G727" s="4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5.5" customHeight="1">
      <c r="A728" s="6"/>
      <c r="B728" s="6"/>
      <c r="C728" s="6"/>
      <c r="D728" s="6"/>
      <c r="E728" s="6"/>
      <c r="F728" s="112"/>
      <c r="G728" s="4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5.5" customHeight="1">
      <c r="A729" s="6"/>
      <c r="B729" s="6"/>
      <c r="C729" s="6"/>
      <c r="D729" s="6"/>
      <c r="E729" s="6"/>
      <c r="F729" s="112"/>
      <c r="G729" s="4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5.5" customHeight="1">
      <c r="A730" s="6"/>
      <c r="B730" s="6"/>
      <c r="C730" s="6"/>
      <c r="D730" s="6"/>
      <c r="E730" s="6"/>
      <c r="F730" s="112"/>
      <c r="G730" s="4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5.5" customHeight="1">
      <c r="A731" s="6"/>
      <c r="B731" s="6"/>
      <c r="C731" s="6"/>
      <c r="D731" s="6"/>
      <c r="E731" s="6"/>
      <c r="F731" s="112"/>
      <c r="G731" s="4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5.5" customHeight="1">
      <c r="A732" s="6"/>
      <c r="B732" s="6"/>
      <c r="C732" s="6"/>
      <c r="D732" s="6"/>
      <c r="E732" s="6"/>
      <c r="F732" s="112"/>
      <c r="G732" s="4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5.5" customHeight="1">
      <c r="A733" s="6"/>
      <c r="B733" s="6"/>
      <c r="C733" s="6"/>
      <c r="D733" s="6"/>
      <c r="E733" s="6"/>
      <c r="F733" s="112"/>
      <c r="G733" s="4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5.5" customHeight="1">
      <c r="A734" s="6"/>
      <c r="B734" s="6"/>
      <c r="C734" s="6"/>
      <c r="D734" s="6"/>
      <c r="E734" s="6"/>
      <c r="F734" s="112"/>
      <c r="G734" s="4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5.5" customHeight="1">
      <c r="A735" s="6"/>
      <c r="B735" s="6"/>
      <c r="C735" s="6"/>
      <c r="D735" s="6"/>
      <c r="E735" s="6"/>
      <c r="F735" s="112"/>
      <c r="G735" s="4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5.5" customHeight="1">
      <c r="A736" s="6"/>
      <c r="B736" s="6"/>
      <c r="C736" s="6"/>
      <c r="D736" s="6"/>
      <c r="E736" s="6"/>
      <c r="F736" s="112"/>
      <c r="G736" s="4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5.5" customHeight="1">
      <c r="A737" s="6"/>
      <c r="B737" s="6"/>
      <c r="C737" s="6"/>
      <c r="D737" s="6"/>
      <c r="E737" s="6"/>
      <c r="F737" s="112"/>
      <c r="G737" s="4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5.5" customHeight="1">
      <c r="A738" s="6"/>
      <c r="B738" s="6"/>
      <c r="C738" s="6"/>
      <c r="D738" s="6"/>
      <c r="E738" s="6"/>
      <c r="F738" s="112"/>
      <c r="G738" s="4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5.5" customHeight="1">
      <c r="A739" s="6"/>
      <c r="B739" s="6"/>
      <c r="C739" s="6"/>
      <c r="D739" s="6"/>
      <c r="E739" s="6"/>
      <c r="F739" s="112"/>
      <c r="G739" s="4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5.5" customHeight="1">
      <c r="A740" s="6"/>
      <c r="B740" s="6"/>
      <c r="C740" s="6"/>
      <c r="D740" s="6"/>
      <c r="E740" s="6"/>
      <c r="F740" s="112"/>
      <c r="G740" s="4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5.5" customHeight="1">
      <c r="A741" s="6"/>
      <c r="B741" s="6"/>
      <c r="C741" s="6"/>
      <c r="D741" s="6"/>
      <c r="E741" s="6"/>
      <c r="F741" s="112"/>
      <c r="G741" s="4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5.5" customHeight="1">
      <c r="A742" s="6"/>
      <c r="B742" s="6"/>
      <c r="C742" s="6"/>
      <c r="D742" s="6"/>
      <c r="E742" s="6"/>
      <c r="F742" s="112"/>
      <c r="G742" s="4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5.5" customHeight="1">
      <c r="A743" s="6"/>
      <c r="B743" s="6"/>
      <c r="C743" s="6"/>
      <c r="D743" s="6"/>
      <c r="E743" s="6"/>
      <c r="F743" s="112"/>
      <c r="G743" s="4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5.5" customHeight="1">
      <c r="A744" s="6"/>
      <c r="B744" s="6"/>
      <c r="C744" s="6"/>
      <c r="D744" s="6"/>
      <c r="E744" s="6"/>
      <c r="F744" s="112"/>
      <c r="G744" s="4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5.5" customHeight="1">
      <c r="A745" s="6"/>
      <c r="B745" s="6"/>
      <c r="C745" s="6"/>
      <c r="D745" s="6"/>
      <c r="E745" s="6"/>
      <c r="F745" s="112"/>
      <c r="G745" s="4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5.5" customHeight="1">
      <c r="A746" s="6"/>
      <c r="B746" s="6"/>
      <c r="C746" s="6"/>
      <c r="D746" s="6"/>
      <c r="E746" s="6"/>
      <c r="F746" s="112"/>
      <c r="G746" s="4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5.5" customHeight="1">
      <c r="A747" s="6"/>
      <c r="B747" s="6"/>
      <c r="C747" s="6"/>
      <c r="D747" s="6"/>
      <c r="E747" s="6"/>
      <c r="F747" s="112"/>
      <c r="G747" s="4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5.5" customHeight="1">
      <c r="A748" s="6"/>
      <c r="B748" s="6"/>
      <c r="C748" s="6"/>
      <c r="D748" s="6"/>
      <c r="E748" s="6"/>
      <c r="F748" s="112"/>
      <c r="G748" s="4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5.5" customHeight="1">
      <c r="A749" s="6"/>
      <c r="B749" s="6"/>
      <c r="C749" s="6"/>
      <c r="D749" s="6"/>
      <c r="E749" s="6"/>
      <c r="F749" s="112"/>
      <c r="G749" s="4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5.5" customHeight="1">
      <c r="A750" s="6"/>
      <c r="B750" s="6"/>
      <c r="C750" s="6"/>
      <c r="D750" s="6"/>
      <c r="E750" s="6"/>
      <c r="F750" s="112"/>
      <c r="G750" s="4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5.5" customHeight="1">
      <c r="A751" s="6"/>
      <c r="B751" s="6"/>
      <c r="C751" s="6"/>
      <c r="D751" s="6"/>
      <c r="E751" s="6"/>
      <c r="F751" s="112"/>
      <c r="G751" s="4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5.5" customHeight="1">
      <c r="A752" s="6"/>
      <c r="B752" s="6"/>
      <c r="C752" s="6"/>
      <c r="D752" s="6"/>
      <c r="E752" s="6"/>
      <c r="F752" s="112"/>
      <c r="G752" s="4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5.5" customHeight="1">
      <c r="A753" s="6"/>
      <c r="B753" s="6"/>
      <c r="C753" s="6"/>
      <c r="D753" s="6"/>
      <c r="E753" s="6"/>
      <c r="F753" s="112"/>
      <c r="G753" s="4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5.5" customHeight="1">
      <c r="A754" s="6"/>
      <c r="B754" s="6"/>
      <c r="C754" s="6"/>
      <c r="D754" s="6"/>
      <c r="E754" s="6"/>
      <c r="F754" s="112"/>
      <c r="G754" s="4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5.5" customHeight="1">
      <c r="A755" s="6"/>
      <c r="B755" s="6"/>
      <c r="C755" s="6"/>
      <c r="D755" s="6"/>
      <c r="E755" s="6"/>
      <c r="F755" s="112"/>
      <c r="G755" s="4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5.5" customHeight="1">
      <c r="A756" s="6"/>
      <c r="B756" s="6"/>
      <c r="C756" s="6"/>
      <c r="D756" s="6"/>
      <c r="E756" s="6"/>
      <c r="F756" s="112"/>
      <c r="G756" s="4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5.5" customHeight="1">
      <c r="A757" s="6"/>
      <c r="B757" s="6"/>
      <c r="C757" s="6"/>
      <c r="D757" s="6"/>
      <c r="E757" s="6"/>
      <c r="F757" s="112"/>
      <c r="G757" s="4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5.5" customHeight="1">
      <c r="A758" s="6"/>
      <c r="B758" s="6"/>
      <c r="C758" s="6"/>
      <c r="D758" s="6"/>
      <c r="E758" s="6"/>
      <c r="F758" s="112"/>
      <c r="G758" s="4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5.5" customHeight="1">
      <c r="A759" s="6"/>
      <c r="B759" s="6"/>
      <c r="C759" s="6"/>
      <c r="D759" s="6"/>
      <c r="E759" s="6"/>
      <c r="F759" s="112"/>
      <c r="G759" s="4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5.5" customHeight="1">
      <c r="A760" s="6"/>
      <c r="B760" s="6"/>
      <c r="C760" s="6"/>
      <c r="D760" s="6"/>
      <c r="E760" s="6"/>
      <c r="F760" s="112"/>
      <c r="G760" s="4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5.5" customHeight="1">
      <c r="A761" s="6"/>
      <c r="B761" s="6"/>
      <c r="C761" s="6"/>
      <c r="D761" s="6"/>
      <c r="E761" s="6"/>
      <c r="F761" s="112"/>
      <c r="G761" s="4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5.5" customHeight="1">
      <c r="A762" s="6"/>
      <c r="B762" s="6"/>
      <c r="C762" s="6"/>
      <c r="D762" s="6"/>
      <c r="E762" s="6"/>
      <c r="F762" s="112"/>
      <c r="G762" s="4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5.5" customHeight="1">
      <c r="A763" s="6"/>
      <c r="B763" s="6"/>
      <c r="C763" s="6"/>
      <c r="D763" s="6"/>
      <c r="E763" s="6"/>
      <c r="F763" s="112"/>
      <c r="G763" s="4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5.5" customHeight="1">
      <c r="A764" s="6"/>
      <c r="B764" s="6"/>
      <c r="C764" s="6"/>
      <c r="D764" s="6"/>
      <c r="E764" s="6"/>
      <c r="F764" s="112"/>
      <c r="G764" s="4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5.5" customHeight="1">
      <c r="A765" s="6"/>
      <c r="B765" s="6"/>
      <c r="C765" s="6"/>
      <c r="D765" s="6"/>
      <c r="E765" s="6"/>
      <c r="F765" s="112"/>
      <c r="G765" s="4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5.5" customHeight="1">
      <c r="A766" s="6"/>
      <c r="B766" s="6"/>
      <c r="C766" s="6"/>
      <c r="D766" s="6"/>
      <c r="E766" s="6"/>
      <c r="F766" s="112"/>
      <c r="G766" s="4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5.5" customHeight="1">
      <c r="A767" s="6"/>
      <c r="B767" s="6"/>
      <c r="C767" s="6"/>
      <c r="D767" s="6"/>
      <c r="E767" s="6"/>
      <c r="F767" s="112"/>
      <c r="G767" s="4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5.5" customHeight="1">
      <c r="A768" s="6"/>
      <c r="B768" s="6"/>
      <c r="C768" s="6"/>
      <c r="D768" s="6"/>
      <c r="E768" s="6"/>
      <c r="F768" s="112"/>
      <c r="G768" s="4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5.5" customHeight="1">
      <c r="A769" s="6"/>
      <c r="B769" s="6"/>
      <c r="C769" s="6"/>
      <c r="D769" s="6"/>
      <c r="E769" s="6"/>
      <c r="F769" s="112"/>
      <c r="G769" s="4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5.5" customHeight="1">
      <c r="A770" s="6"/>
      <c r="B770" s="6"/>
      <c r="C770" s="6"/>
      <c r="D770" s="6"/>
      <c r="E770" s="6"/>
      <c r="F770" s="112"/>
      <c r="G770" s="4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5.5" customHeight="1">
      <c r="A771" s="6"/>
      <c r="B771" s="6"/>
      <c r="C771" s="6"/>
      <c r="D771" s="6"/>
      <c r="E771" s="6"/>
      <c r="F771" s="112"/>
      <c r="G771" s="4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5.5" customHeight="1">
      <c r="A772" s="6"/>
      <c r="B772" s="6"/>
      <c r="C772" s="6"/>
      <c r="D772" s="6"/>
      <c r="E772" s="6"/>
      <c r="F772" s="112"/>
      <c r="G772" s="4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5.5" customHeight="1">
      <c r="A773" s="6"/>
      <c r="B773" s="6"/>
      <c r="C773" s="6"/>
      <c r="D773" s="6"/>
      <c r="E773" s="6"/>
      <c r="F773" s="112"/>
      <c r="G773" s="4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5.5" customHeight="1">
      <c r="A774" s="6"/>
      <c r="B774" s="6"/>
      <c r="C774" s="6"/>
      <c r="D774" s="6"/>
      <c r="E774" s="6"/>
      <c r="F774" s="112"/>
      <c r="G774" s="4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5.5" customHeight="1">
      <c r="A775" s="6"/>
      <c r="B775" s="6"/>
      <c r="C775" s="6"/>
      <c r="D775" s="6"/>
      <c r="E775" s="6"/>
      <c r="F775" s="112"/>
      <c r="G775" s="4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5.5" customHeight="1">
      <c r="A776" s="6"/>
      <c r="B776" s="6"/>
      <c r="C776" s="6"/>
      <c r="D776" s="6"/>
      <c r="E776" s="6"/>
      <c r="F776" s="112"/>
      <c r="G776" s="4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5.5" customHeight="1">
      <c r="A777" s="6"/>
      <c r="B777" s="6"/>
      <c r="C777" s="6"/>
      <c r="D777" s="6"/>
      <c r="E777" s="6"/>
      <c r="F777" s="112"/>
      <c r="G777" s="4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5.5" customHeight="1">
      <c r="A778" s="6"/>
      <c r="B778" s="6"/>
      <c r="C778" s="6"/>
      <c r="D778" s="6"/>
      <c r="E778" s="6"/>
      <c r="F778" s="112"/>
      <c r="G778" s="4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5.5" customHeight="1">
      <c r="A779" s="6"/>
      <c r="B779" s="6"/>
      <c r="C779" s="6"/>
      <c r="D779" s="6"/>
      <c r="E779" s="6"/>
      <c r="F779" s="112"/>
      <c r="G779" s="4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5.5" customHeight="1">
      <c r="A780" s="6"/>
      <c r="B780" s="6"/>
      <c r="C780" s="6"/>
      <c r="D780" s="6"/>
      <c r="E780" s="6"/>
      <c r="F780" s="112"/>
      <c r="G780" s="4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5.5" customHeight="1">
      <c r="A781" s="6"/>
      <c r="B781" s="6"/>
      <c r="C781" s="6"/>
      <c r="D781" s="6"/>
      <c r="E781" s="6"/>
      <c r="F781" s="112"/>
      <c r="G781" s="4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5.5" customHeight="1">
      <c r="A782" s="6"/>
      <c r="B782" s="6"/>
      <c r="C782" s="6"/>
      <c r="D782" s="6"/>
      <c r="E782" s="6"/>
      <c r="F782" s="112"/>
      <c r="G782" s="4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5.5" customHeight="1">
      <c r="A783" s="6"/>
      <c r="B783" s="6"/>
      <c r="C783" s="6"/>
      <c r="D783" s="6"/>
      <c r="E783" s="6"/>
      <c r="F783" s="112"/>
      <c r="G783" s="4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5.5" customHeight="1">
      <c r="A784" s="6"/>
      <c r="B784" s="6"/>
      <c r="C784" s="6"/>
      <c r="D784" s="6"/>
      <c r="E784" s="6"/>
      <c r="F784" s="112"/>
      <c r="G784" s="4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5.5" customHeight="1">
      <c r="A785" s="6"/>
      <c r="B785" s="6"/>
      <c r="C785" s="6"/>
      <c r="D785" s="6"/>
      <c r="E785" s="6"/>
      <c r="F785" s="112"/>
      <c r="G785" s="4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5.5" customHeight="1">
      <c r="A786" s="6"/>
      <c r="B786" s="6"/>
      <c r="C786" s="6"/>
      <c r="D786" s="6"/>
      <c r="E786" s="6"/>
      <c r="F786" s="112"/>
      <c r="G786" s="4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5.5" customHeight="1">
      <c r="A787" s="6"/>
      <c r="B787" s="6"/>
      <c r="C787" s="6"/>
      <c r="D787" s="6"/>
      <c r="E787" s="6"/>
      <c r="F787" s="112"/>
      <c r="G787" s="4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5.5" customHeight="1">
      <c r="A788" s="6"/>
      <c r="B788" s="6"/>
      <c r="C788" s="6"/>
      <c r="D788" s="6"/>
      <c r="E788" s="6"/>
      <c r="F788" s="112"/>
      <c r="G788" s="4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5.5" customHeight="1">
      <c r="A789" s="6"/>
      <c r="B789" s="6"/>
      <c r="C789" s="6"/>
      <c r="D789" s="6"/>
      <c r="E789" s="6"/>
      <c r="F789" s="112"/>
      <c r="G789" s="4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5.5" customHeight="1">
      <c r="A790" s="6"/>
      <c r="B790" s="6"/>
      <c r="C790" s="6"/>
      <c r="D790" s="6"/>
      <c r="E790" s="6"/>
      <c r="F790" s="112"/>
      <c r="G790" s="4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5.5" customHeight="1">
      <c r="A791" s="6"/>
      <c r="B791" s="6"/>
      <c r="C791" s="6"/>
      <c r="D791" s="6"/>
      <c r="E791" s="6"/>
      <c r="F791" s="112"/>
      <c r="G791" s="4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5.5" customHeight="1">
      <c r="A792" s="6"/>
      <c r="B792" s="6"/>
      <c r="C792" s="6"/>
      <c r="D792" s="6"/>
      <c r="E792" s="6"/>
      <c r="F792" s="112"/>
      <c r="G792" s="4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5.5" customHeight="1">
      <c r="A793" s="6"/>
      <c r="B793" s="6"/>
      <c r="C793" s="6"/>
      <c r="D793" s="6"/>
      <c r="E793" s="6"/>
      <c r="F793" s="112"/>
      <c r="G793" s="4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5.5" customHeight="1">
      <c r="A794" s="6"/>
      <c r="B794" s="6"/>
      <c r="C794" s="6"/>
      <c r="D794" s="6"/>
      <c r="E794" s="6"/>
      <c r="F794" s="112"/>
      <c r="G794" s="4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5.5" customHeight="1">
      <c r="A795" s="6"/>
      <c r="B795" s="6"/>
      <c r="C795" s="6"/>
      <c r="D795" s="6"/>
      <c r="E795" s="6"/>
      <c r="F795" s="112"/>
      <c r="G795" s="4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5.5" customHeight="1">
      <c r="A796" s="6"/>
      <c r="B796" s="6"/>
      <c r="C796" s="6"/>
      <c r="D796" s="6"/>
      <c r="E796" s="6"/>
      <c r="F796" s="112"/>
      <c r="G796" s="4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5.5" customHeight="1">
      <c r="A797" s="6"/>
      <c r="B797" s="6"/>
      <c r="C797" s="6"/>
      <c r="D797" s="6"/>
      <c r="E797" s="6"/>
      <c r="F797" s="112"/>
      <c r="G797" s="4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5.5" customHeight="1">
      <c r="A798" s="6"/>
      <c r="B798" s="6"/>
      <c r="C798" s="6"/>
      <c r="D798" s="6"/>
      <c r="E798" s="6"/>
      <c r="F798" s="112"/>
      <c r="G798" s="4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5.5" customHeight="1">
      <c r="A799" s="6"/>
      <c r="B799" s="6"/>
      <c r="C799" s="6"/>
      <c r="D799" s="6"/>
      <c r="E799" s="6"/>
      <c r="F799" s="112"/>
      <c r="G799" s="4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5.5" customHeight="1">
      <c r="A800" s="6"/>
      <c r="B800" s="6"/>
      <c r="C800" s="6"/>
      <c r="D800" s="6"/>
      <c r="E800" s="6"/>
      <c r="F800" s="112"/>
      <c r="G800" s="4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5.5" customHeight="1">
      <c r="A801" s="6"/>
      <c r="B801" s="6"/>
      <c r="C801" s="6"/>
      <c r="D801" s="6"/>
      <c r="E801" s="6"/>
      <c r="F801" s="112"/>
      <c r="G801" s="4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5.5" customHeight="1">
      <c r="A802" s="6"/>
      <c r="B802" s="6"/>
      <c r="C802" s="6"/>
      <c r="D802" s="6"/>
      <c r="E802" s="6"/>
      <c r="F802" s="112"/>
      <c r="G802" s="4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5.5" customHeight="1">
      <c r="A803" s="6"/>
      <c r="B803" s="6"/>
      <c r="C803" s="6"/>
      <c r="D803" s="6"/>
      <c r="E803" s="6"/>
      <c r="F803" s="112"/>
      <c r="G803" s="4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5.5" customHeight="1">
      <c r="A804" s="6"/>
      <c r="B804" s="6"/>
      <c r="C804" s="6"/>
      <c r="D804" s="6"/>
      <c r="E804" s="6"/>
      <c r="F804" s="112"/>
      <c r="G804" s="4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5.5" customHeight="1">
      <c r="A805" s="6"/>
      <c r="B805" s="6"/>
      <c r="C805" s="6"/>
      <c r="D805" s="6"/>
      <c r="E805" s="6"/>
      <c r="F805" s="112"/>
      <c r="G805" s="4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5.5" customHeight="1">
      <c r="A806" s="6"/>
      <c r="B806" s="6"/>
      <c r="C806" s="6"/>
      <c r="D806" s="6"/>
      <c r="E806" s="6"/>
      <c r="F806" s="112"/>
      <c r="G806" s="4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5.5" customHeight="1">
      <c r="A807" s="6"/>
      <c r="B807" s="6"/>
      <c r="C807" s="6"/>
      <c r="D807" s="6"/>
      <c r="E807" s="6"/>
      <c r="F807" s="112"/>
      <c r="G807" s="4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5.5" customHeight="1">
      <c r="A808" s="6"/>
      <c r="B808" s="6"/>
      <c r="C808" s="6"/>
      <c r="D808" s="6"/>
      <c r="E808" s="6"/>
      <c r="F808" s="112"/>
      <c r="G808" s="4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5.5" customHeight="1">
      <c r="A809" s="6"/>
      <c r="B809" s="6"/>
      <c r="C809" s="6"/>
      <c r="D809" s="6"/>
      <c r="E809" s="6"/>
      <c r="F809" s="112"/>
      <c r="G809" s="4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5.5" customHeight="1">
      <c r="A810" s="6"/>
      <c r="B810" s="6"/>
      <c r="C810" s="6"/>
      <c r="D810" s="6"/>
      <c r="E810" s="6"/>
      <c r="F810" s="112"/>
      <c r="G810" s="4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5.5" customHeight="1">
      <c r="A811" s="6"/>
      <c r="B811" s="6"/>
      <c r="C811" s="6"/>
      <c r="D811" s="6"/>
      <c r="E811" s="6"/>
      <c r="F811" s="112"/>
      <c r="G811" s="4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5.5" customHeight="1">
      <c r="A812" s="6"/>
      <c r="B812" s="6"/>
      <c r="C812" s="6"/>
      <c r="D812" s="6"/>
      <c r="E812" s="6"/>
      <c r="F812" s="112"/>
      <c r="G812" s="4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5.5" customHeight="1">
      <c r="A813" s="6"/>
      <c r="B813" s="6"/>
      <c r="C813" s="6"/>
      <c r="D813" s="6"/>
      <c r="E813" s="6"/>
      <c r="F813" s="112"/>
      <c r="G813" s="4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5.5" customHeight="1">
      <c r="A814" s="6"/>
      <c r="B814" s="6"/>
      <c r="C814" s="6"/>
      <c r="D814" s="6"/>
      <c r="E814" s="6"/>
      <c r="F814" s="112"/>
      <c r="G814" s="4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5.5" customHeight="1">
      <c r="A815" s="6"/>
      <c r="B815" s="6"/>
      <c r="C815" s="6"/>
      <c r="D815" s="6"/>
      <c r="E815" s="6"/>
      <c r="F815" s="112"/>
      <c r="G815" s="4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5.5" customHeight="1">
      <c r="A816" s="6"/>
      <c r="B816" s="6"/>
      <c r="C816" s="6"/>
      <c r="D816" s="6"/>
      <c r="E816" s="6"/>
      <c r="F816" s="112"/>
      <c r="G816" s="4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5.5" customHeight="1">
      <c r="A817" s="6"/>
      <c r="B817" s="6"/>
      <c r="C817" s="6"/>
      <c r="D817" s="6"/>
      <c r="E817" s="6"/>
      <c r="F817" s="112"/>
      <c r="G817" s="4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5.5" customHeight="1">
      <c r="A818" s="6"/>
      <c r="B818" s="6"/>
      <c r="C818" s="6"/>
      <c r="D818" s="6"/>
      <c r="E818" s="6"/>
      <c r="F818" s="112"/>
      <c r="G818" s="4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5.5" customHeight="1">
      <c r="A819" s="6"/>
      <c r="B819" s="6"/>
      <c r="C819" s="6"/>
      <c r="D819" s="6"/>
      <c r="E819" s="6"/>
      <c r="F819" s="112"/>
      <c r="G819" s="4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5.5" customHeight="1">
      <c r="A820" s="6"/>
      <c r="B820" s="6"/>
      <c r="C820" s="6"/>
      <c r="D820" s="6"/>
      <c r="E820" s="6"/>
      <c r="F820" s="112"/>
      <c r="G820" s="4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5.5" customHeight="1">
      <c r="A821" s="6"/>
      <c r="B821" s="6"/>
      <c r="C821" s="6"/>
      <c r="D821" s="6"/>
      <c r="E821" s="6"/>
      <c r="F821" s="112"/>
      <c r="G821" s="4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5.5" customHeight="1">
      <c r="A822" s="6"/>
      <c r="B822" s="6"/>
      <c r="C822" s="6"/>
      <c r="D822" s="6"/>
      <c r="E822" s="6"/>
      <c r="F822" s="112"/>
      <c r="G822" s="4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5.5" customHeight="1">
      <c r="A823" s="6"/>
      <c r="B823" s="6"/>
      <c r="C823" s="6"/>
      <c r="D823" s="6"/>
      <c r="E823" s="6"/>
      <c r="F823" s="112"/>
      <c r="G823" s="4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5.5" customHeight="1">
      <c r="A824" s="6"/>
      <c r="B824" s="6"/>
      <c r="C824" s="6"/>
      <c r="D824" s="6"/>
      <c r="E824" s="6"/>
      <c r="F824" s="112"/>
      <c r="G824" s="4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5.5" customHeight="1">
      <c r="A825" s="6"/>
      <c r="B825" s="6"/>
      <c r="C825" s="6"/>
      <c r="D825" s="6"/>
      <c r="E825" s="6"/>
      <c r="F825" s="112"/>
      <c r="G825" s="4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5.5" customHeight="1">
      <c r="A826" s="6"/>
      <c r="B826" s="6"/>
      <c r="C826" s="6"/>
      <c r="D826" s="6"/>
      <c r="E826" s="6"/>
      <c r="F826" s="112"/>
      <c r="G826" s="4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5.5" customHeight="1">
      <c r="A827" s="6"/>
      <c r="B827" s="6"/>
      <c r="C827" s="6"/>
      <c r="D827" s="6"/>
      <c r="E827" s="6"/>
      <c r="F827" s="112"/>
      <c r="G827" s="4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5.5" customHeight="1">
      <c r="A828" s="6"/>
      <c r="B828" s="6"/>
      <c r="C828" s="6"/>
      <c r="D828" s="6"/>
      <c r="E828" s="6"/>
      <c r="F828" s="112"/>
      <c r="G828" s="4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5.5" customHeight="1">
      <c r="A829" s="6"/>
      <c r="B829" s="6"/>
      <c r="C829" s="6"/>
      <c r="D829" s="6"/>
      <c r="E829" s="6"/>
      <c r="F829" s="112"/>
      <c r="G829" s="4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5.5" customHeight="1">
      <c r="A830" s="6"/>
      <c r="B830" s="6"/>
      <c r="C830" s="6"/>
      <c r="D830" s="6"/>
      <c r="E830" s="6"/>
      <c r="F830" s="112"/>
      <c r="G830" s="4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5.5" customHeight="1">
      <c r="A831" s="6"/>
      <c r="B831" s="6"/>
      <c r="C831" s="6"/>
      <c r="D831" s="6"/>
      <c r="E831" s="6"/>
      <c r="F831" s="112"/>
      <c r="G831" s="4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5.5" customHeight="1">
      <c r="A832" s="6"/>
      <c r="B832" s="6"/>
      <c r="C832" s="6"/>
      <c r="D832" s="6"/>
      <c r="E832" s="6"/>
      <c r="F832" s="112"/>
      <c r="G832" s="4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5.5" customHeight="1">
      <c r="A833" s="6"/>
      <c r="B833" s="6"/>
      <c r="C833" s="6"/>
      <c r="D833" s="6"/>
      <c r="E833" s="6"/>
      <c r="F833" s="112"/>
      <c r="G833" s="4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5.5" customHeight="1">
      <c r="A834" s="6"/>
      <c r="B834" s="6"/>
      <c r="C834" s="6"/>
      <c r="D834" s="6"/>
      <c r="E834" s="6"/>
      <c r="F834" s="112"/>
      <c r="G834" s="4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5.5" customHeight="1">
      <c r="A835" s="6"/>
      <c r="B835" s="6"/>
      <c r="C835" s="6"/>
      <c r="D835" s="6"/>
      <c r="E835" s="6"/>
      <c r="F835" s="112"/>
      <c r="G835" s="4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5.5" customHeight="1">
      <c r="A836" s="6"/>
      <c r="B836" s="6"/>
      <c r="C836" s="6"/>
      <c r="D836" s="6"/>
      <c r="E836" s="6"/>
      <c r="F836" s="112"/>
      <c r="G836" s="4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5.5" customHeight="1">
      <c r="A837" s="6"/>
      <c r="B837" s="6"/>
      <c r="C837" s="6"/>
      <c r="D837" s="6"/>
      <c r="E837" s="6"/>
      <c r="F837" s="112"/>
      <c r="G837" s="4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5.5" customHeight="1">
      <c r="A838" s="6"/>
      <c r="B838" s="6"/>
      <c r="C838" s="6"/>
      <c r="D838" s="6"/>
      <c r="E838" s="6"/>
      <c r="F838" s="112"/>
      <c r="G838" s="4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5.5" customHeight="1">
      <c r="A839" s="6"/>
      <c r="B839" s="6"/>
      <c r="C839" s="6"/>
      <c r="D839" s="6"/>
      <c r="E839" s="6"/>
      <c r="F839" s="112"/>
      <c r="G839" s="4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5.5" customHeight="1">
      <c r="A840" s="6"/>
      <c r="B840" s="6"/>
      <c r="C840" s="6"/>
      <c r="D840" s="6"/>
      <c r="E840" s="6"/>
      <c r="F840" s="112"/>
      <c r="G840" s="4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5.5" customHeight="1">
      <c r="A841" s="6"/>
      <c r="B841" s="6"/>
      <c r="C841" s="6"/>
      <c r="D841" s="6"/>
      <c r="E841" s="6"/>
      <c r="F841" s="112"/>
      <c r="G841" s="4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5.5" customHeight="1">
      <c r="A842" s="6"/>
      <c r="B842" s="6"/>
      <c r="C842" s="6"/>
      <c r="D842" s="6"/>
      <c r="E842" s="6"/>
      <c r="F842" s="112"/>
      <c r="G842" s="4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5.5" customHeight="1">
      <c r="A843" s="6"/>
      <c r="B843" s="6"/>
      <c r="C843" s="6"/>
      <c r="D843" s="6"/>
      <c r="E843" s="6"/>
      <c r="F843" s="112"/>
      <c r="G843" s="4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5.5" customHeight="1">
      <c r="A844" s="6"/>
      <c r="B844" s="6"/>
      <c r="C844" s="6"/>
      <c r="D844" s="6"/>
      <c r="E844" s="6"/>
      <c r="F844" s="112"/>
      <c r="G844" s="4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5.5" customHeight="1">
      <c r="A845" s="6"/>
      <c r="B845" s="6"/>
      <c r="C845" s="6"/>
      <c r="D845" s="6"/>
      <c r="E845" s="6"/>
      <c r="F845" s="112"/>
      <c r="G845" s="4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5.5" customHeight="1">
      <c r="A846" s="6"/>
      <c r="B846" s="6"/>
      <c r="C846" s="6"/>
      <c r="D846" s="6"/>
      <c r="E846" s="6"/>
      <c r="F846" s="112"/>
      <c r="G846" s="4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5.5" customHeight="1">
      <c r="A847" s="6"/>
      <c r="B847" s="6"/>
      <c r="C847" s="6"/>
      <c r="D847" s="6"/>
      <c r="E847" s="6"/>
      <c r="F847" s="112"/>
      <c r="G847" s="4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5.5" customHeight="1">
      <c r="A848" s="6"/>
      <c r="B848" s="6"/>
      <c r="C848" s="6"/>
      <c r="D848" s="6"/>
      <c r="E848" s="6"/>
      <c r="F848" s="112"/>
      <c r="G848" s="4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5.5" customHeight="1">
      <c r="A849" s="6"/>
      <c r="B849" s="6"/>
      <c r="C849" s="6"/>
      <c r="D849" s="6"/>
      <c r="E849" s="6"/>
      <c r="F849" s="112"/>
      <c r="G849" s="4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5.5" customHeight="1">
      <c r="A850" s="6"/>
      <c r="B850" s="6"/>
      <c r="C850" s="6"/>
      <c r="D850" s="6"/>
      <c r="E850" s="6"/>
      <c r="F850" s="112"/>
      <c r="G850" s="4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5.5" customHeight="1">
      <c r="A851" s="6"/>
      <c r="B851" s="6"/>
      <c r="C851" s="6"/>
      <c r="D851" s="6"/>
      <c r="E851" s="6"/>
      <c r="F851" s="112"/>
      <c r="G851" s="4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5.5" customHeight="1">
      <c r="A852" s="6"/>
      <c r="B852" s="6"/>
      <c r="C852" s="6"/>
      <c r="D852" s="6"/>
      <c r="E852" s="6"/>
      <c r="F852" s="112"/>
      <c r="G852" s="4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5.5" customHeight="1">
      <c r="A853" s="6"/>
      <c r="B853" s="6"/>
      <c r="C853" s="6"/>
      <c r="D853" s="6"/>
      <c r="E853" s="6"/>
      <c r="F853" s="112"/>
      <c r="G853" s="4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5.5" customHeight="1">
      <c r="A854" s="6"/>
      <c r="B854" s="6"/>
      <c r="C854" s="6"/>
      <c r="D854" s="6"/>
      <c r="E854" s="6"/>
      <c r="F854" s="112"/>
      <c r="G854" s="4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5.5" customHeight="1">
      <c r="A855" s="6"/>
      <c r="B855" s="6"/>
      <c r="C855" s="6"/>
      <c r="D855" s="6"/>
      <c r="E855" s="6"/>
      <c r="F855" s="112"/>
      <c r="G855" s="4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5.5" customHeight="1">
      <c r="A856" s="6"/>
      <c r="B856" s="6"/>
      <c r="C856" s="6"/>
      <c r="D856" s="6"/>
      <c r="E856" s="6"/>
      <c r="F856" s="112"/>
      <c r="G856" s="4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5.5" customHeight="1">
      <c r="A857" s="6"/>
      <c r="B857" s="6"/>
      <c r="C857" s="6"/>
      <c r="D857" s="6"/>
      <c r="E857" s="6"/>
      <c r="F857" s="112"/>
      <c r="G857" s="4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5.5" customHeight="1">
      <c r="A858" s="6"/>
      <c r="B858" s="6"/>
      <c r="C858" s="6"/>
      <c r="D858" s="6"/>
      <c r="E858" s="6"/>
      <c r="F858" s="112"/>
      <c r="G858" s="4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5.5" customHeight="1">
      <c r="A859" s="6"/>
      <c r="B859" s="6"/>
      <c r="C859" s="6"/>
      <c r="D859" s="6"/>
      <c r="E859" s="6"/>
      <c r="F859" s="112"/>
      <c r="G859" s="4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5.5" customHeight="1">
      <c r="A860" s="6"/>
      <c r="B860" s="6"/>
      <c r="C860" s="6"/>
      <c r="D860" s="6"/>
      <c r="E860" s="6"/>
      <c r="F860" s="112"/>
      <c r="G860" s="4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5.5" customHeight="1">
      <c r="A861" s="6"/>
      <c r="B861" s="6"/>
      <c r="C861" s="6"/>
      <c r="D861" s="6"/>
      <c r="E861" s="6"/>
      <c r="F861" s="112"/>
      <c r="G861" s="4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5.5" customHeight="1">
      <c r="A862" s="6"/>
      <c r="B862" s="6"/>
      <c r="C862" s="6"/>
      <c r="D862" s="6"/>
      <c r="E862" s="6"/>
      <c r="F862" s="112"/>
      <c r="G862" s="4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5.5" customHeight="1">
      <c r="A863" s="6"/>
      <c r="B863" s="6"/>
      <c r="C863" s="6"/>
      <c r="D863" s="6"/>
      <c r="E863" s="6"/>
      <c r="F863" s="112"/>
      <c r="G863" s="4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5.5" customHeight="1">
      <c r="A864" s="6"/>
      <c r="B864" s="6"/>
      <c r="C864" s="6"/>
      <c r="D864" s="6"/>
      <c r="E864" s="6"/>
      <c r="F864" s="112"/>
      <c r="G864" s="4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5.5" customHeight="1">
      <c r="A865" s="6"/>
      <c r="B865" s="6"/>
      <c r="C865" s="6"/>
      <c r="D865" s="6"/>
      <c r="E865" s="6"/>
      <c r="F865" s="112"/>
      <c r="G865" s="4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5.5" customHeight="1">
      <c r="A866" s="6"/>
      <c r="B866" s="6"/>
      <c r="C866" s="6"/>
      <c r="D866" s="6"/>
      <c r="E866" s="6"/>
      <c r="F866" s="112"/>
      <c r="G866" s="4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5.5" customHeight="1">
      <c r="A867" s="6"/>
      <c r="B867" s="6"/>
      <c r="C867" s="6"/>
      <c r="D867" s="6"/>
      <c r="E867" s="6"/>
      <c r="F867" s="112"/>
      <c r="G867" s="4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5.5" customHeight="1">
      <c r="A868" s="6"/>
      <c r="B868" s="6"/>
      <c r="C868" s="6"/>
      <c r="D868" s="6"/>
      <c r="E868" s="6"/>
      <c r="F868" s="112"/>
      <c r="G868" s="4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5.5" customHeight="1">
      <c r="A869" s="6"/>
      <c r="B869" s="6"/>
      <c r="C869" s="6"/>
      <c r="D869" s="6"/>
      <c r="E869" s="6"/>
      <c r="F869" s="112"/>
      <c r="G869" s="4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5.5" customHeight="1">
      <c r="A870" s="6"/>
      <c r="B870" s="6"/>
      <c r="C870" s="6"/>
      <c r="D870" s="6"/>
      <c r="E870" s="6"/>
      <c r="F870" s="112"/>
      <c r="G870" s="4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5.5" customHeight="1">
      <c r="A871" s="6"/>
      <c r="B871" s="6"/>
      <c r="C871" s="6"/>
      <c r="D871" s="6"/>
      <c r="E871" s="6"/>
      <c r="F871" s="112"/>
      <c r="G871" s="4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5.5" customHeight="1">
      <c r="A872" s="6"/>
      <c r="B872" s="6"/>
      <c r="C872" s="6"/>
      <c r="D872" s="6"/>
      <c r="E872" s="6"/>
      <c r="F872" s="112"/>
      <c r="G872" s="4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5.5" customHeight="1">
      <c r="A873" s="6"/>
      <c r="B873" s="6"/>
      <c r="C873" s="6"/>
      <c r="D873" s="6"/>
      <c r="E873" s="6"/>
      <c r="F873" s="112"/>
      <c r="G873" s="4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5.5" customHeight="1">
      <c r="A874" s="6"/>
      <c r="B874" s="6"/>
      <c r="C874" s="6"/>
      <c r="D874" s="6"/>
      <c r="E874" s="6"/>
      <c r="F874" s="112"/>
      <c r="G874" s="4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5.5" customHeight="1">
      <c r="A875" s="6"/>
      <c r="B875" s="6"/>
      <c r="C875" s="6"/>
      <c r="D875" s="6"/>
      <c r="E875" s="6"/>
      <c r="F875" s="112"/>
      <c r="G875" s="4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5.5" customHeight="1">
      <c r="A876" s="6"/>
      <c r="B876" s="6"/>
      <c r="C876" s="6"/>
      <c r="D876" s="6"/>
      <c r="E876" s="6"/>
      <c r="F876" s="112"/>
      <c r="G876" s="4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5.5" customHeight="1">
      <c r="A877" s="6"/>
      <c r="B877" s="6"/>
      <c r="C877" s="6"/>
      <c r="D877" s="6"/>
      <c r="E877" s="6"/>
      <c r="F877" s="112"/>
      <c r="G877" s="4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5.5" customHeight="1">
      <c r="A878" s="6"/>
      <c r="B878" s="6"/>
      <c r="C878" s="6"/>
      <c r="D878" s="6"/>
      <c r="E878" s="6"/>
      <c r="F878" s="112"/>
      <c r="G878" s="4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5.5" customHeight="1">
      <c r="A879" s="6"/>
      <c r="B879" s="6"/>
      <c r="C879" s="6"/>
      <c r="D879" s="6"/>
      <c r="E879" s="6"/>
      <c r="F879" s="112"/>
      <c r="G879" s="4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5.5" customHeight="1">
      <c r="A880" s="6"/>
      <c r="B880" s="6"/>
      <c r="C880" s="6"/>
      <c r="D880" s="6"/>
      <c r="E880" s="6"/>
      <c r="F880" s="112"/>
      <c r="G880" s="4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5.5" customHeight="1">
      <c r="A881" s="6"/>
      <c r="B881" s="6"/>
      <c r="C881" s="6"/>
      <c r="D881" s="6"/>
      <c r="E881" s="6"/>
      <c r="F881" s="112"/>
      <c r="G881" s="4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5.5" customHeight="1">
      <c r="A882" s="6"/>
      <c r="B882" s="6"/>
      <c r="C882" s="6"/>
      <c r="D882" s="6"/>
      <c r="E882" s="6"/>
      <c r="F882" s="112"/>
      <c r="G882" s="4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5.5" customHeight="1">
      <c r="A883" s="6"/>
      <c r="B883" s="6"/>
      <c r="C883" s="6"/>
      <c r="D883" s="6"/>
      <c r="E883" s="6"/>
      <c r="F883" s="112"/>
      <c r="G883" s="4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5.5" customHeight="1">
      <c r="A884" s="6"/>
      <c r="B884" s="6"/>
      <c r="C884" s="6"/>
      <c r="D884" s="6"/>
      <c r="E884" s="6"/>
      <c r="F884" s="112"/>
      <c r="G884" s="4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5.5" customHeight="1">
      <c r="A885" s="6"/>
      <c r="B885" s="6"/>
      <c r="C885" s="6"/>
      <c r="D885" s="6"/>
      <c r="E885" s="6"/>
      <c r="F885" s="112"/>
      <c r="G885" s="4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5.5" customHeight="1">
      <c r="A886" s="6"/>
      <c r="B886" s="6"/>
      <c r="C886" s="6"/>
      <c r="D886" s="6"/>
      <c r="E886" s="6"/>
      <c r="F886" s="112"/>
      <c r="G886" s="4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5.5" customHeight="1">
      <c r="A887" s="6"/>
      <c r="B887" s="6"/>
      <c r="C887" s="6"/>
      <c r="D887" s="6"/>
      <c r="E887" s="6"/>
      <c r="F887" s="112"/>
      <c r="G887" s="4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5.5" customHeight="1">
      <c r="A888" s="6"/>
      <c r="B888" s="6"/>
      <c r="C888" s="6"/>
      <c r="D888" s="6"/>
      <c r="E888" s="6"/>
      <c r="F888" s="112"/>
      <c r="G888" s="4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5.5" customHeight="1">
      <c r="A889" s="6"/>
      <c r="B889" s="6"/>
      <c r="C889" s="6"/>
      <c r="D889" s="6"/>
      <c r="E889" s="6"/>
      <c r="F889" s="112"/>
      <c r="G889" s="4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5.5" customHeight="1">
      <c r="A890" s="6"/>
      <c r="B890" s="6"/>
      <c r="C890" s="6"/>
      <c r="D890" s="6"/>
      <c r="E890" s="6"/>
      <c r="F890" s="112"/>
      <c r="G890" s="4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5.5" customHeight="1">
      <c r="A891" s="6"/>
      <c r="B891" s="6"/>
      <c r="C891" s="6"/>
      <c r="D891" s="6"/>
      <c r="E891" s="6"/>
      <c r="F891" s="112"/>
      <c r="G891" s="4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5.5" customHeight="1">
      <c r="A892" s="6"/>
      <c r="B892" s="6"/>
      <c r="C892" s="6"/>
      <c r="D892" s="6"/>
      <c r="E892" s="6"/>
      <c r="F892" s="112"/>
      <c r="G892" s="4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5.5" customHeight="1">
      <c r="A893" s="6"/>
      <c r="B893" s="6"/>
      <c r="C893" s="6"/>
      <c r="D893" s="6"/>
      <c r="E893" s="6"/>
      <c r="F893" s="112"/>
      <c r="G893" s="4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5.5" customHeight="1">
      <c r="A894" s="6"/>
      <c r="B894" s="6"/>
      <c r="C894" s="6"/>
      <c r="D894" s="6"/>
      <c r="E894" s="6"/>
      <c r="F894" s="112"/>
      <c r="G894" s="4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5.5" customHeight="1">
      <c r="A895" s="6"/>
      <c r="B895" s="6"/>
      <c r="C895" s="6"/>
      <c r="D895" s="6"/>
      <c r="E895" s="6"/>
      <c r="F895" s="112"/>
      <c r="G895" s="4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5.5" customHeight="1">
      <c r="A896" s="6"/>
      <c r="B896" s="6"/>
      <c r="C896" s="6"/>
      <c r="D896" s="6"/>
      <c r="E896" s="6"/>
      <c r="F896" s="112"/>
      <c r="G896" s="4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5.5" customHeight="1">
      <c r="A897" s="6"/>
      <c r="B897" s="6"/>
      <c r="C897" s="6"/>
      <c r="D897" s="6"/>
      <c r="E897" s="6"/>
      <c r="F897" s="112"/>
      <c r="G897" s="4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5.5" customHeight="1">
      <c r="A898" s="6"/>
      <c r="B898" s="6"/>
      <c r="C898" s="6"/>
      <c r="D898" s="6"/>
      <c r="E898" s="6"/>
      <c r="F898" s="112"/>
      <c r="G898" s="4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5.5" customHeight="1">
      <c r="A899" s="6"/>
      <c r="B899" s="6"/>
      <c r="C899" s="6"/>
      <c r="D899" s="6"/>
      <c r="E899" s="6"/>
      <c r="F899" s="112"/>
      <c r="G899" s="4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5.5" customHeight="1">
      <c r="A900" s="6"/>
      <c r="B900" s="6"/>
      <c r="C900" s="6"/>
      <c r="D900" s="6"/>
      <c r="E900" s="6"/>
      <c r="F900" s="112"/>
      <c r="G900" s="4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5.5" customHeight="1">
      <c r="A901" s="6"/>
      <c r="B901" s="6"/>
      <c r="C901" s="6"/>
      <c r="D901" s="6"/>
      <c r="E901" s="6"/>
      <c r="F901" s="112"/>
      <c r="G901" s="4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5.5" customHeight="1">
      <c r="A902" s="6"/>
      <c r="B902" s="6"/>
      <c r="C902" s="6"/>
      <c r="D902" s="6"/>
      <c r="E902" s="6"/>
      <c r="F902" s="112"/>
      <c r="G902" s="4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5.5" customHeight="1">
      <c r="A903" s="6"/>
      <c r="B903" s="6"/>
      <c r="C903" s="6"/>
      <c r="D903" s="6"/>
      <c r="E903" s="6"/>
      <c r="F903" s="112"/>
      <c r="G903" s="4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5.5" customHeight="1">
      <c r="A904" s="6"/>
      <c r="B904" s="6"/>
      <c r="C904" s="6"/>
      <c r="D904" s="6"/>
      <c r="E904" s="6"/>
      <c r="F904" s="112"/>
      <c r="G904" s="4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5.5" customHeight="1">
      <c r="A905" s="6"/>
      <c r="B905" s="6"/>
      <c r="C905" s="6"/>
      <c r="D905" s="6"/>
      <c r="E905" s="6"/>
      <c r="F905" s="112"/>
      <c r="G905" s="4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5.5" customHeight="1">
      <c r="A906" s="6"/>
      <c r="B906" s="6"/>
      <c r="C906" s="6"/>
      <c r="D906" s="6"/>
      <c r="E906" s="6"/>
      <c r="F906" s="112"/>
      <c r="G906" s="4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5.5" customHeight="1">
      <c r="A907" s="6"/>
      <c r="B907" s="6"/>
      <c r="C907" s="6"/>
      <c r="D907" s="6"/>
      <c r="E907" s="6"/>
      <c r="F907" s="112"/>
      <c r="G907" s="4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5.5" customHeight="1">
      <c r="A908" s="6"/>
      <c r="B908" s="6"/>
      <c r="C908" s="6"/>
      <c r="D908" s="6"/>
      <c r="E908" s="6"/>
      <c r="F908" s="112"/>
      <c r="G908" s="4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5.5" customHeight="1">
      <c r="A909" s="6"/>
      <c r="B909" s="6"/>
      <c r="C909" s="6"/>
      <c r="D909" s="6"/>
      <c r="E909" s="6"/>
      <c r="F909" s="112"/>
      <c r="G909" s="4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5.5" customHeight="1">
      <c r="A910" s="6"/>
      <c r="B910" s="6"/>
      <c r="C910" s="6"/>
      <c r="D910" s="6"/>
      <c r="E910" s="6"/>
      <c r="F910" s="112"/>
      <c r="G910" s="4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5.5" customHeight="1">
      <c r="A911" s="6"/>
      <c r="B911" s="6"/>
      <c r="C911" s="6"/>
      <c r="D911" s="6"/>
      <c r="E911" s="6"/>
      <c r="F911" s="112"/>
      <c r="G911" s="4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5.5" customHeight="1">
      <c r="A912" s="6"/>
      <c r="B912" s="6"/>
      <c r="C912" s="6"/>
      <c r="D912" s="6"/>
      <c r="E912" s="6"/>
      <c r="F912" s="112"/>
      <c r="G912" s="4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5.5" customHeight="1">
      <c r="A913" s="6"/>
      <c r="B913" s="6"/>
      <c r="C913" s="6"/>
      <c r="D913" s="6"/>
      <c r="E913" s="6"/>
      <c r="F913" s="112"/>
      <c r="G913" s="4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5.5" customHeight="1">
      <c r="A914" s="6"/>
      <c r="B914" s="6"/>
      <c r="C914" s="6"/>
      <c r="D914" s="6"/>
      <c r="E914" s="6"/>
      <c r="F914" s="112"/>
      <c r="G914" s="4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5.5" customHeight="1">
      <c r="A915" s="6"/>
      <c r="B915" s="6"/>
      <c r="C915" s="6"/>
      <c r="D915" s="6"/>
      <c r="E915" s="6"/>
      <c r="F915" s="112"/>
      <c r="G915" s="4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5.5" customHeight="1">
      <c r="A916" s="6"/>
      <c r="B916" s="6"/>
      <c r="C916" s="6"/>
      <c r="D916" s="6"/>
      <c r="E916" s="6"/>
      <c r="F916" s="112"/>
      <c r="G916" s="4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5.5" customHeight="1">
      <c r="A917" s="6"/>
      <c r="B917" s="6"/>
      <c r="C917" s="6"/>
      <c r="D917" s="6"/>
      <c r="E917" s="6"/>
      <c r="F917" s="112"/>
      <c r="G917" s="4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5.5" customHeight="1">
      <c r="A918" s="6"/>
      <c r="B918" s="6"/>
      <c r="C918" s="6"/>
      <c r="D918" s="6"/>
      <c r="E918" s="6"/>
      <c r="F918" s="112"/>
      <c r="G918" s="4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5.5" customHeight="1">
      <c r="A919" s="6"/>
      <c r="B919" s="6"/>
      <c r="C919" s="6"/>
      <c r="D919" s="6"/>
      <c r="E919" s="6"/>
      <c r="F919" s="112"/>
      <c r="G919" s="4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5.5" customHeight="1">
      <c r="A920" s="6"/>
      <c r="B920" s="6"/>
      <c r="C920" s="6"/>
      <c r="D920" s="6"/>
      <c r="E920" s="6"/>
      <c r="F920" s="112"/>
      <c r="G920" s="4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5.5" customHeight="1">
      <c r="A921" s="6"/>
      <c r="B921" s="6"/>
      <c r="C921" s="6"/>
      <c r="D921" s="6"/>
      <c r="E921" s="6"/>
      <c r="F921" s="112"/>
      <c r="G921" s="4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5.5" customHeight="1">
      <c r="A922" s="6"/>
      <c r="B922" s="6"/>
      <c r="C922" s="6"/>
      <c r="D922" s="6"/>
      <c r="E922" s="6"/>
      <c r="F922" s="112"/>
      <c r="G922" s="4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5.5" customHeight="1">
      <c r="A923" s="6"/>
      <c r="B923" s="6"/>
      <c r="C923" s="6"/>
      <c r="D923" s="6"/>
      <c r="E923" s="6"/>
      <c r="F923" s="112"/>
      <c r="G923" s="4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5.5" customHeight="1">
      <c r="A924" s="6"/>
      <c r="B924" s="6"/>
      <c r="C924" s="6"/>
      <c r="D924" s="6"/>
      <c r="E924" s="6"/>
      <c r="F924" s="112"/>
      <c r="G924" s="4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5.5" customHeight="1">
      <c r="A925" s="6"/>
      <c r="B925" s="6"/>
      <c r="C925" s="6"/>
      <c r="D925" s="6"/>
      <c r="E925" s="6"/>
      <c r="F925" s="112"/>
      <c r="G925" s="4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5.5" customHeight="1">
      <c r="A926" s="6"/>
      <c r="B926" s="6"/>
      <c r="C926" s="6"/>
      <c r="D926" s="6"/>
      <c r="E926" s="6"/>
      <c r="F926" s="112"/>
      <c r="G926" s="4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5.5" customHeight="1">
      <c r="A927" s="6"/>
      <c r="B927" s="6"/>
      <c r="C927" s="6"/>
      <c r="D927" s="6"/>
      <c r="E927" s="6"/>
      <c r="F927" s="112"/>
      <c r="G927" s="4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5.5" customHeight="1">
      <c r="A928" s="6"/>
      <c r="B928" s="6"/>
      <c r="C928" s="6"/>
      <c r="D928" s="6"/>
      <c r="E928" s="6"/>
      <c r="F928" s="112"/>
      <c r="G928" s="4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5.5" customHeight="1">
      <c r="A929" s="6"/>
      <c r="B929" s="6"/>
      <c r="C929" s="6"/>
      <c r="D929" s="6"/>
      <c r="E929" s="6"/>
      <c r="F929" s="112"/>
      <c r="G929" s="4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5.5" customHeight="1">
      <c r="A930" s="6"/>
      <c r="B930" s="6"/>
      <c r="C930" s="6"/>
      <c r="D930" s="6"/>
      <c r="E930" s="6"/>
      <c r="F930" s="112"/>
      <c r="G930" s="4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5.5" customHeight="1">
      <c r="A931" s="6"/>
      <c r="B931" s="6"/>
      <c r="C931" s="6"/>
      <c r="D931" s="6"/>
      <c r="E931" s="6"/>
      <c r="F931" s="112"/>
      <c r="G931" s="4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5.5" customHeight="1">
      <c r="A932" s="6"/>
      <c r="B932" s="6"/>
      <c r="C932" s="6"/>
      <c r="D932" s="6"/>
      <c r="E932" s="6"/>
      <c r="F932" s="112"/>
      <c r="G932" s="4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5.5" customHeight="1">
      <c r="A933" s="6"/>
      <c r="B933" s="6"/>
      <c r="C933" s="6"/>
      <c r="D933" s="6"/>
      <c r="E933" s="6"/>
      <c r="F933" s="112"/>
      <c r="G933" s="4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5.5" customHeight="1">
      <c r="A934" s="6"/>
      <c r="B934" s="6"/>
      <c r="C934" s="6"/>
      <c r="D934" s="6"/>
      <c r="E934" s="6"/>
      <c r="F934" s="112"/>
      <c r="G934" s="4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5.5" customHeight="1">
      <c r="A935" s="6"/>
      <c r="B935" s="6"/>
      <c r="C935" s="6"/>
      <c r="D935" s="6"/>
      <c r="E935" s="6"/>
      <c r="F935" s="112"/>
      <c r="G935" s="4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5.5" customHeight="1">
      <c r="A936" s="6"/>
      <c r="B936" s="6"/>
      <c r="C936" s="6"/>
      <c r="D936" s="6"/>
      <c r="E936" s="6"/>
      <c r="F936" s="112"/>
      <c r="G936" s="4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5.5" customHeight="1">
      <c r="A937" s="6"/>
      <c r="B937" s="6"/>
      <c r="C937" s="6"/>
      <c r="D937" s="6"/>
      <c r="E937" s="6"/>
      <c r="F937" s="112"/>
      <c r="G937" s="4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5.5" customHeight="1">
      <c r="A938" s="6"/>
      <c r="B938" s="6"/>
      <c r="C938" s="6"/>
      <c r="D938" s="6"/>
      <c r="E938" s="6"/>
      <c r="F938" s="112"/>
      <c r="G938" s="4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5.5" customHeight="1">
      <c r="A939" s="6"/>
      <c r="B939" s="6"/>
      <c r="C939" s="6"/>
      <c r="D939" s="6"/>
      <c r="E939" s="6"/>
      <c r="F939" s="112"/>
      <c r="G939" s="4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5.5" customHeight="1">
      <c r="A940" s="6"/>
      <c r="B940" s="6"/>
      <c r="C940" s="6"/>
      <c r="D940" s="6"/>
      <c r="E940" s="6"/>
      <c r="F940" s="112"/>
      <c r="G940" s="4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5.5" customHeight="1">
      <c r="A941" s="6"/>
      <c r="B941" s="6"/>
      <c r="C941" s="6"/>
      <c r="D941" s="6"/>
      <c r="E941" s="6"/>
      <c r="F941" s="112"/>
      <c r="G941" s="4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5.5" customHeight="1">
      <c r="A942" s="6"/>
      <c r="B942" s="6"/>
      <c r="C942" s="6"/>
      <c r="D942" s="6"/>
      <c r="E942" s="6"/>
      <c r="F942" s="112"/>
      <c r="G942" s="4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5.5" customHeight="1">
      <c r="A943" s="6"/>
      <c r="B943" s="6"/>
      <c r="C943" s="6"/>
      <c r="D943" s="6"/>
      <c r="E943" s="6"/>
      <c r="F943" s="112"/>
      <c r="G943" s="4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5.5" customHeight="1">
      <c r="A944" s="6"/>
      <c r="B944" s="6"/>
      <c r="C944" s="6"/>
      <c r="D944" s="6"/>
      <c r="E944" s="6"/>
      <c r="F944" s="112"/>
      <c r="G944" s="4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5.5" customHeight="1">
      <c r="A945" s="6"/>
      <c r="B945" s="6"/>
      <c r="C945" s="6"/>
      <c r="D945" s="6"/>
      <c r="E945" s="6"/>
      <c r="F945" s="112"/>
      <c r="G945" s="4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5.5" customHeight="1">
      <c r="A946" s="6"/>
      <c r="B946" s="6"/>
      <c r="C946" s="6"/>
      <c r="D946" s="6"/>
      <c r="E946" s="6"/>
      <c r="F946" s="112"/>
      <c r="G946" s="4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5.5" customHeight="1">
      <c r="A947" s="6"/>
      <c r="B947" s="6"/>
      <c r="C947" s="6"/>
      <c r="D947" s="6"/>
      <c r="E947" s="6"/>
      <c r="F947" s="112"/>
      <c r="G947" s="4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5.5" customHeight="1">
      <c r="A948" s="6"/>
      <c r="B948" s="6"/>
      <c r="C948" s="6"/>
      <c r="D948" s="6"/>
      <c r="E948" s="6"/>
      <c r="F948" s="112"/>
      <c r="G948" s="4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5.5" customHeight="1">
      <c r="A949" s="6"/>
      <c r="B949" s="6"/>
      <c r="C949" s="6"/>
      <c r="D949" s="6"/>
      <c r="E949" s="6"/>
      <c r="F949" s="112"/>
      <c r="G949" s="4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5.5" customHeight="1">
      <c r="A950" s="6"/>
      <c r="B950" s="6"/>
      <c r="C950" s="6"/>
      <c r="D950" s="6"/>
      <c r="E950" s="6"/>
      <c r="F950" s="112"/>
      <c r="G950" s="4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5.5" customHeight="1">
      <c r="A951" s="6"/>
      <c r="B951" s="6"/>
      <c r="C951" s="6"/>
      <c r="D951" s="6"/>
      <c r="E951" s="6"/>
      <c r="F951" s="112"/>
      <c r="G951" s="4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5.5" customHeight="1">
      <c r="A952" s="6"/>
      <c r="B952" s="6"/>
      <c r="C952" s="6"/>
      <c r="D952" s="6"/>
      <c r="E952" s="6"/>
      <c r="F952" s="112"/>
      <c r="G952" s="4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5.5" customHeight="1">
      <c r="A953" s="6"/>
      <c r="B953" s="6"/>
      <c r="C953" s="6"/>
      <c r="D953" s="6"/>
      <c r="E953" s="6"/>
      <c r="F953" s="112"/>
      <c r="G953" s="4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5.5" customHeight="1">
      <c r="A954" s="6"/>
      <c r="B954" s="6"/>
      <c r="C954" s="6"/>
      <c r="D954" s="6"/>
      <c r="E954" s="6"/>
      <c r="F954" s="112"/>
      <c r="G954" s="4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5.5" customHeight="1">
      <c r="A955" s="6"/>
      <c r="B955" s="6"/>
      <c r="C955" s="6"/>
      <c r="D955" s="6"/>
      <c r="E955" s="6"/>
      <c r="F955" s="112"/>
      <c r="G955" s="4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5.5" customHeight="1">
      <c r="A956" s="6"/>
      <c r="B956" s="6"/>
      <c r="C956" s="6"/>
      <c r="D956" s="6"/>
      <c r="E956" s="6"/>
      <c r="F956" s="112"/>
      <c r="G956" s="4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5.5" customHeight="1">
      <c r="A957" s="6"/>
      <c r="B957" s="6"/>
      <c r="C957" s="6"/>
      <c r="D957" s="6"/>
      <c r="E957" s="6"/>
      <c r="F957" s="112"/>
      <c r="G957" s="4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5.5" customHeight="1">
      <c r="A958" s="6"/>
      <c r="B958" s="6"/>
      <c r="C958" s="6"/>
      <c r="D958" s="6"/>
      <c r="E958" s="6"/>
      <c r="F958" s="112"/>
      <c r="G958" s="4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5.5" customHeight="1">
      <c r="A959" s="6"/>
      <c r="B959" s="6"/>
      <c r="C959" s="6"/>
      <c r="D959" s="6"/>
      <c r="E959" s="6"/>
      <c r="F959" s="112"/>
      <c r="G959" s="4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5.5" customHeight="1">
      <c r="A960" s="6"/>
      <c r="B960" s="6"/>
      <c r="C960" s="6"/>
      <c r="D960" s="6"/>
      <c r="E960" s="6"/>
      <c r="F960" s="112"/>
      <c r="G960" s="4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5.5" customHeight="1">
      <c r="A961" s="6"/>
      <c r="B961" s="6"/>
      <c r="C961" s="6"/>
      <c r="D961" s="6"/>
      <c r="E961" s="6"/>
      <c r="F961" s="112"/>
      <c r="G961" s="4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5.5" customHeight="1">
      <c r="A962" s="6"/>
      <c r="B962" s="6"/>
      <c r="C962" s="6"/>
      <c r="D962" s="6"/>
      <c r="E962" s="6"/>
      <c r="F962" s="112"/>
      <c r="G962" s="4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5.5" customHeight="1">
      <c r="A963" s="6"/>
      <c r="B963" s="6"/>
      <c r="C963" s="6"/>
      <c r="D963" s="6"/>
      <c r="E963" s="6"/>
      <c r="F963" s="112"/>
      <c r="G963" s="4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5.5" customHeight="1">
      <c r="A964" s="6"/>
      <c r="B964" s="6"/>
      <c r="C964" s="6"/>
      <c r="D964" s="6"/>
      <c r="E964" s="6"/>
      <c r="F964" s="112"/>
      <c r="G964" s="4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5.5" customHeight="1">
      <c r="A965" s="6"/>
      <c r="B965" s="6"/>
      <c r="C965" s="6"/>
      <c r="D965" s="6"/>
      <c r="E965" s="6"/>
      <c r="F965" s="112"/>
      <c r="G965" s="4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5.5" customHeight="1">
      <c r="A966" s="6"/>
      <c r="B966" s="6"/>
      <c r="C966" s="6"/>
      <c r="D966" s="6"/>
      <c r="E966" s="6"/>
      <c r="F966" s="112"/>
      <c r="G966" s="4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5.5" customHeight="1">
      <c r="A967" s="6"/>
      <c r="B967" s="6"/>
      <c r="C967" s="6"/>
      <c r="D967" s="6"/>
      <c r="E967" s="6"/>
      <c r="F967" s="112"/>
      <c r="G967" s="4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5.5" customHeight="1">
      <c r="A968" s="6"/>
      <c r="B968" s="6"/>
      <c r="C968" s="6"/>
      <c r="D968" s="6"/>
      <c r="E968" s="6"/>
      <c r="F968" s="112"/>
      <c r="G968" s="4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5.5" customHeight="1">
      <c r="A969" s="6"/>
      <c r="B969" s="6"/>
      <c r="C969" s="6"/>
      <c r="D969" s="6"/>
      <c r="E969" s="6"/>
      <c r="F969" s="112"/>
      <c r="G969" s="4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5.5" customHeight="1">
      <c r="A970" s="6"/>
      <c r="B970" s="6"/>
      <c r="C970" s="6"/>
      <c r="D970" s="6"/>
      <c r="E970" s="6"/>
      <c r="F970" s="112"/>
      <c r="G970" s="4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5.5" customHeight="1">
      <c r="A971" s="6"/>
      <c r="B971" s="6"/>
      <c r="C971" s="6"/>
      <c r="D971" s="6"/>
      <c r="E971" s="6"/>
      <c r="F971" s="112"/>
      <c r="G971" s="4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5.5" customHeight="1">
      <c r="A972" s="6"/>
      <c r="B972" s="6"/>
      <c r="C972" s="6"/>
      <c r="D972" s="6"/>
      <c r="E972" s="6"/>
      <c r="F972" s="112"/>
      <c r="G972" s="4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5.5" customHeight="1">
      <c r="A973" s="6"/>
      <c r="B973" s="6"/>
      <c r="C973" s="6"/>
      <c r="D973" s="6"/>
      <c r="E973" s="6"/>
      <c r="F973" s="112"/>
      <c r="G973" s="4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5.5" customHeight="1">
      <c r="A974" s="6"/>
      <c r="B974" s="6"/>
      <c r="C974" s="6"/>
      <c r="D974" s="6"/>
      <c r="E974" s="6"/>
      <c r="F974" s="112"/>
      <c r="G974" s="4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5.5" customHeight="1">
      <c r="A975" s="6"/>
      <c r="B975" s="6"/>
      <c r="C975" s="6"/>
      <c r="D975" s="6"/>
      <c r="E975" s="6"/>
      <c r="F975" s="112"/>
      <c r="G975" s="4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5.5" customHeight="1">
      <c r="A976" s="6"/>
      <c r="B976" s="6"/>
      <c r="C976" s="6"/>
      <c r="D976" s="6"/>
      <c r="E976" s="6"/>
      <c r="F976" s="112"/>
      <c r="G976" s="4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5.5" customHeight="1">
      <c r="A977" s="6"/>
      <c r="B977" s="6"/>
      <c r="C977" s="6"/>
      <c r="D977" s="6"/>
      <c r="E977" s="6"/>
      <c r="F977" s="112"/>
      <c r="G977" s="4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5.5" customHeight="1">
      <c r="A978" s="6"/>
      <c r="B978" s="6"/>
      <c r="C978" s="6"/>
      <c r="D978" s="6"/>
      <c r="E978" s="6"/>
      <c r="F978" s="112"/>
      <c r="G978" s="4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5.5" customHeight="1">
      <c r="A979" s="6"/>
      <c r="B979" s="6"/>
      <c r="C979" s="6"/>
      <c r="D979" s="6"/>
      <c r="E979" s="6"/>
      <c r="F979" s="112"/>
      <c r="G979" s="4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5.5" customHeight="1">
      <c r="A980" s="6"/>
      <c r="B980" s="6"/>
      <c r="C980" s="6"/>
      <c r="D980" s="6"/>
      <c r="E980" s="6"/>
      <c r="F980" s="112"/>
      <c r="G980" s="4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5.5" customHeight="1">
      <c r="A981" s="6"/>
      <c r="B981" s="6"/>
      <c r="C981" s="6"/>
      <c r="D981" s="6"/>
      <c r="E981" s="6"/>
      <c r="F981" s="112"/>
      <c r="G981" s="4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5.5" customHeight="1">
      <c r="A982" s="6"/>
      <c r="B982" s="6"/>
      <c r="C982" s="6"/>
      <c r="D982" s="6"/>
      <c r="E982" s="6"/>
      <c r="F982" s="112"/>
      <c r="G982" s="4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5.5" customHeight="1">
      <c r="A983" s="6"/>
      <c r="B983" s="6"/>
      <c r="C983" s="6"/>
      <c r="D983" s="6"/>
      <c r="E983" s="6"/>
      <c r="F983" s="112"/>
      <c r="G983" s="4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5.5" customHeight="1">
      <c r="A984" s="6"/>
      <c r="B984" s="6"/>
      <c r="C984" s="6"/>
      <c r="D984" s="6"/>
      <c r="E984" s="6"/>
      <c r="F984" s="112"/>
      <c r="G984" s="4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5.5" customHeight="1">
      <c r="A985" s="6"/>
      <c r="B985" s="6"/>
      <c r="C985" s="6"/>
      <c r="D985" s="6"/>
      <c r="E985" s="6"/>
      <c r="F985" s="112"/>
      <c r="G985" s="4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5.5" customHeight="1">
      <c r="A986" s="6"/>
      <c r="B986" s="6"/>
      <c r="C986" s="6"/>
      <c r="D986" s="6"/>
      <c r="E986" s="6"/>
      <c r="F986" s="112"/>
      <c r="G986" s="4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5.5" customHeight="1">
      <c r="A987" s="6"/>
      <c r="B987" s="6"/>
      <c r="C987" s="6"/>
      <c r="D987" s="6"/>
      <c r="E987" s="6"/>
      <c r="F987" s="112"/>
      <c r="G987" s="4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5.5" customHeight="1">
      <c r="A988" s="6"/>
      <c r="B988" s="6"/>
      <c r="C988" s="6"/>
      <c r="D988" s="6"/>
      <c r="E988" s="6"/>
      <c r="F988" s="112"/>
      <c r="G988" s="4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5.5" customHeight="1">
      <c r="A989" s="6"/>
      <c r="B989" s="6"/>
      <c r="C989" s="6"/>
      <c r="D989" s="6"/>
      <c r="E989" s="6"/>
      <c r="F989" s="112"/>
      <c r="G989" s="4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5.5" customHeight="1">
      <c r="A990" s="6"/>
      <c r="B990" s="6"/>
      <c r="C990" s="6"/>
      <c r="D990" s="6"/>
      <c r="E990" s="6"/>
      <c r="F990" s="112"/>
      <c r="G990" s="4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5.5" customHeight="1">
      <c r="A991" s="6"/>
      <c r="B991" s="6"/>
      <c r="C991" s="6"/>
      <c r="D991" s="6"/>
      <c r="E991" s="6"/>
      <c r="F991" s="112"/>
      <c r="G991" s="4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5.5" customHeight="1">
      <c r="A992" s="6"/>
      <c r="B992" s="6"/>
      <c r="C992" s="6"/>
      <c r="D992" s="6"/>
      <c r="E992" s="6"/>
      <c r="F992" s="112"/>
      <c r="G992" s="4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5.5" customHeight="1">
      <c r="A993" s="6"/>
      <c r="B993" s="6"/>
      <c r="C993" s="6"/>
      <c r="D993" s="6"/>
      <c r="E993" s="6"/>
      <c r="F993" s="112"/>
      <c r="G993" s="4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5.5" customHeight="1">
      <c r="A994" s="6"/>
      <c r="B994" s="6"/>
      <c r="C994" s="6"/>
      <c r="D994" s="6"/>
      <c r="E994" s="6"/>
      <c r="F994" s="112"/>
      <c r="G994" s="4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5.5" customHeight="1">
      <c r="A995" s="6"/>
      <c r="B995" s="6"/>
      <c r="C995" s="6"/>
      <c r="D995" s="6"/>
      <c r="E995" s="6"/>
      <c r="F995" s="112"/>
      <c r="G995" s="4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5.5" customHeight="1">
      <c r="A996" s="6"/>
      <c r="B996" s="6"/>
      <c r="C996" s="6"/>
      <c r="D996" s="6"/>
      <c r="E996" s="6"/>
      <c r="F996" s="112"/>
      <c r="G996" s="4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5.5" customHeight="1">
      <c r="A997" s="6"/>
      <c r="B997" s="6"/>
      <c r="C997" s="6"/>
      <c r="D997" s="6"/>
      <c r="E997" s="6"/>
      <c r="F997" s="112"/>
      <c r="G997" s="4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5.5" customHeight="1">
      <c r="A998" s="6"/>
      <c r="B998" s="6"/>
      <c r="C998" s="6"/>
      <c r="D998" s="6"/>
      <c r="E998" s="6"/>
      <c r="F998" s="112"/>
      <c r="G998" s="4"/>
      <c r="H998" s="6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5.5" customHeight="1">
      <c r="A999" s="6"/>
      <c r="B999" s="6"/>
      <c r="C999" s="6"/>
      <c r="D999" s="6"/>
      <c r="E999" s="6"/>
      <c r="F999" s="112"/>
      <c r="G999" s="4"/>
      <c r="H999" s="6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5.5" customHeight="1">
      <c r="A1000" s="6"/>
      <c r="B1000" s="6"/>
      <c r="C1000" s="6"/>
      <c r="D1000" s="6"/>
      <c r="E1000" s="6"/>
      <c r="F1000" s="112"/>
      <c r="G1000" s="4"/>
      <c r="H1000" s="6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59">
    <mergeCell ref="A225:F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A234:E234"/>
    <mergeCell ref="A235:F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A250:E250"/>
    <mergeCell ref="A251:F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A262:E262"/>
    <mergeCell ref="A263:F263"/>
    <mergeCell ref="B264:D264"/>
    <mergeCell ref="B265:D265"/>
    <mergeCell ref="B266:D266"/>
    <mergeCell ref="B267:D267"/>
    <mergeCell ref="A268:E268"/>
    <mergeCell ref="A269:F269"/>
    <mergeCell ref="A270:F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A284:F284"/>
    <mergeCell ref="B285:D285"/>
    <mergeCell ref="B286:D286"/>
    <mergeCell ref="B287:D287"/>
    <mergeCell ref="B288:D288"/>
    <mergeCell ref="B289:D289"/>
    <mergeCell ref="B290:D290"/>
    <mergeCell ref="A291:E291"/>
    <mergeCell ref="A292:F292"/>
    <mergeCell ref="B293:D293"/>
    <mergeCell ref="B294:D294"/>
    <mergeCell ref="B295:D295"/>
    <mergeCell ref="B296:D296"/>
    <mergeCell ref="A297:F297"/>
    <mergeCell ref="B298:D298"/>
    <mergeCell ref="B299:D299"/>
    <mergeCell ref="A300:F300"/>
    <mergeCell ref="B301:D301"/>
    <mergeCell ref="B302:D302"/>
    <mergeCell ref="B303:D303"/>
    <mergeCell ref="B304:D304"/>
    <mergeCell ref="B305:D305"/>
    <mergeCell ref="A306:F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A320:E320"/>
    <mergeCell ref="A321:F321"/>
    <mergeCell ref="B322:D322"/>
    <mergeCell ref="B365:D365"/>
    <mergeCell ref="B366:D366"/>
    <mergeCell ref="A367:E367"/>
    <mergeCell ref="A368:F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A377:E377"/>
    <mergeCell ref="A378:F378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A345:E345"/>
    <mergeCell ref="A346:F346"/>
    <mergeCell ref="B347:D347"/>
    <mergeCell ref="B348:D348"/>
    <mergeCell ref="B349:D349"/>
    <mergeCell ref="B350:D350"/>
    <mergeCell ref="B351:D351"/>
    <mergeCell ref="A352:E352"/>
    <mergeCell ref="A353:F353"/>
    <mergeCell ref="A354:F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79:D379"/>
    <mergeCell ref="B380:D380"/>
    <mergeCell ref="A381:E381"/>
    <mergeCell ref="A382:F382"/>
    <mergeCell ref="B383:D383"/>
    <mergeCell ref="B384:D384"/>
    <mergeCell ref="B385:D385"/>
    <mergeCell ref="A386:E386"/>
    <mergeCell ref="A387:F387"/>
    <mergeCell ref="B388:D388"/>
    <mergeCell ref="B389:D389"/>
    <mergeCell ref="B390:D390"/>
    <mergeCell ref="B391:D391"/>
    <mergeCell ref="A392:E392"/>
    <mergeCell ref="A393:F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A406:E406"/>
    <mergeCell ref="A407:F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A423:E423"/>
    <mergeCell ref="A424:F424"/>
    <mergeCell ref="B425:D425"/>
    <mergeCell ref="B426:D426"/>
    <mergeCell ref="B427:D427"/>
    <mergeCell ref="B442:D442"/>
    <mergeCell ref="B443:D443"/>
    <mergeCell ref="B444:D444"/>
    <mergeCell ref="B445:D445"/>
    <mergeCell ref="B446:D446"/>
    <mergeCell ref="B447:D447"/>
    <mergeCell ref="B448:D448"/>
    <mergeCell ref="C532:G532"/>
    <mergeCell ref="C533:G533"/>
    <mergeCell ref="C534:G534"/>
    <mergeCell ref="C535:G535"/>
    <mergeCell ref="A536:H536"/>
    <mergeCell ref="C537:G537"/>
    <mergeCell ref="C538:G538"/>
    <mergeCell ref="C539:G539"/>
    <mergeCell ref="C540:G540"/>
    <mergeCell ref="C541:G541"/>
    <mergeCell ref="C542:G542"/>
    <mergeCell ref="A543:H543"/>
    <mergeCell ref="C544:G544"/>
    <mergeCell ref="C545:G545"/>
    <mergeCell ref="B428:D428"/>
    <mergeCell ref="A429:E429"/>
    <mergeCell ref="A430:F430"/>
    <mergeCell ref="B431:D431"/>
    <mergeCell ref="B432:D432"/>
    <mergeCell ref="B433:D433"/>
    <mergeCell ref="B434:D434"/>
    <mergeCell ref="A435:E435"/>
    <mergeCell ref="A436:F436"/>
    <mergeCell ref="B437:D437"/>
    <mergeCell ref="B438:D438"/>
    <mergeCell ref="B439:D439"/>
    <mergeCell ref="B440:D440"/>
    <mergeCell ref="B441:D441"/>
    <mergeCell ref="A505:H505"/>
    <mergeCell ref="C506:E506"/>
    <mergeCell ref="F506:G507"/>
    <mergeCell ref="H506:H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A516:H516"/>
    <mergeCell ref="F517:G517"/>
    <mergeCell ref="F518:G518"/>
    <mergeCell ref="F519:G519"/>
    <mergeCell ref="F520:G520"/>
    <mergeCell ref="F521:G521"/>
    <mergeCell ref="F522:G522"/>
    <mergeCell ref="A523:H523"/>
    <mergeCell ref="F524:G524"/>
    <mergeCell ref="F525:G525"/>
    <mergeCell ref="F526:G526"/>
    <mergeCell ref="A527:H527"/>
    <mergeCell ref="C528:G528"/>
    <mergeCell ref="C529:G529"/>
    <mergeCell ref="C530:G530"/>
    <mergeCell ref="C531:G531"/>
    <mergeCell ref="C553:G553"/>
    <mergeCell ref="C554:G554"/>
    <mergeCell ref="C555:G555"/>
    <mergeCell ref="C556:G556"/>
    <mergeCell ref="C557:G557"/>
    <mergeCell ref="C558:G558"/>
    <mergeCell ref="C559:G559"/>
    <mergeCell ref="A560:G560"/>
    <mergeCell ref="C546:G546"/>
    <mergeCell ref="C547:G547"/>
    <mergeCell ref="C548:G548"/>
    <mergeCell ref="C549:G549"/>
    <mergeCell ref="C550:G550"/>
    <mergeCell ref="C551:G551"/>
    <mergeCell ref="C552:G552"/>
    <mergeCell ref="B43:D43"/>
    <mergeCell ref="B44:D44"/>
    <mergeCell ref="A45:F45"/>
    <mergeCell ref="B46:D46"/>
    <mergeCell ref="B47:D47"/>
    <mergeCell ref="B48:D48"/>
    <mergeCell ref="B49:D49"/>
    <mergeCell ref="A50:E50"/>
    <mergeCell ref="A51:F51"/>
    <mergeCell ref="B52:D52"/>
    <mergeCell ref="B53:D53"/>
    <mergeCell ref="B54:D54"/>
    <mergeCell ref="B55:D55"/>
    <mergeCell ref="B56:D56"/>
    <mergeCell ref="A1:F1"/>
    <mergeCell ref="A2:F2"/>
    <mergeCell ref="A3:F3"/>
    <mergeCell ref="A7:A8"/>
    <mergeCell ref="E7:E8"/>
    <mergeCell ref="F7:F8"/>
    <mergeCell ref="A4:F6"/>
    <mergeCell ref="B7:D8"/>
    <mergeCell ref="A9:F9"/>
    <mergeCell ref="A10:F10"/>
    <mergeCell ref="B11:D11"/>
    <mergeCell ref="B12:D12"/>
    <mergeCell ref="B13:D13"/>
    <mergeCell ref="B14:D14"/>
    <mergeCell ref="B15:D15"/>
    <mergeCell ref="A16:F16"/>
    <mergeCell ref="B17:D17"/>
    <mergeCell ref="B18:D18"/>
    <mergeCell ref="B19:D19"/>
    <mergeCell ref="B20:D20"/>
    <mergeCell ref="B21:D21"/>
    <mergeCell ref="B22:D22"/>
    <mergeCell ref="B23:D23"/>
    <mergeCell ref="B24:D24"/>
    <mergeCell ref="A25:F25"/>
    <mergeCell ref="B26:D26"/>
    <mergeCell ref="B27:D27"/>
    <mergeCell ref="B28:D28"/>
    <mergeCell ref="B29:D29"/>
    <mergeCell ref="A30:F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A40:F40"/>
    <mergeCell ref="B41:D41"/>
    <mergeCell ref="B42:D42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A67:E67"/>
    <mergeCell ref="A68:F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A87:F87"/>
    <mergeCell ref="B88:D88"/>
    <mergeCell ref="B89:D89"/>
    <mergeCell ref="A90:E90"/>
    <mergeCell ref="A91:F91"/>
    <mergeCell ref="B92:D92"/>
    <mergeCell ref="B93:D93"/>
    <mergeCell ref="B94:D94"/>
    <mergeCell ref="A95:E95"/>
    <mergeCell ref="A96:F96"/>
    <mergeCell ref="B97:D97"/>
    <mergeCell ref="B98:D98"/>
    <mergeCell ref="B99:D99"/>
    <mergeCell ref="A100:F100"/>
    <mergeCell ref="B101:D101"/>
    <mergeCell ref="B102:D102"/>
    <mergeCell ref="A103:E103"/>
    <mergeCell ref="A104:F104"/>
    <mergeCell ref="B105:D105"/>
    <mergeCell ref="B106:D106"/>
    <mergeCell ref="B107:D107"/>
    <mergeCell ref="B108:D108"/>
    <mergeCell ref="A109:E109"/>
    <mergeCell ref="A110:F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A120:E120"/>
    <mergeCell ref="A121:F121"/>
    <mergeCell ref="A122:F122"/>
    <mergeCell ref="B123:D123"/>
    <mergeCell ref="B124:D124"/>
    <mergeCell ref="B125:D125"/>
    <mergeCell ref="B126:D126"/>
    <mergeCell ref="B127:D127"/>
    <mergeCell ref="A128:F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A140:E140"/>
    <mergeCell ref="A141:F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A161:F161"/>
    <mergeCell ref="B204:D204"/>
    <mergeCell ref="B205:D205"/>
    <mergeCell ref="A206:E206"/>
    <mergeCell ref="A207:F207"/>
    <mergeCell ref="B208:D208"/>
    <mergeCell ref="B209:D209"/>
    <mergeCell ref="B210:D210"/>
    <mergeCell ref="B211:D211"/>
    <mergeCell ref="B212:D212"/>
    <mergeCell ref="A213:E213"/>
    <mergeCell ref="A214:F214"/>
    <mergeCell ref="B215:D215"/>
    <mergeCell ref="B216:D216"/>
    <mergeCell ref="B217:D217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A174:E174"/>
    <mergeCell ref="A175:F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A186:F186"/>
    <mergeCell ref="B187:D187"/>
    <mergeCell ref="B188:D188"/>
    <mergeCell ref="B189:D189"/>
    <mergeCell ref="B190:D190"/>
    <mergeCell ref="B191:D191"/>
    <mergeCell ref="B192:D192"/>
    <mergeCell ref="A193:E193"/>
    <mergeCell ref="A194:F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18:D218"/>
    <mergeCell ref="B219:D219"/>
    <mergeCell ref="B220:D220"/>
    <mergeCell ref="B221:D221"/>
    <mergeCell ref="B222:D222"/>
    <mergeCell ref="B223:D223"/>
    <mergeCell ref="A224:E224"/>
    <mergeCell ref="B449:D449"/>
    <mergeCell ref="B450:D450"/>
    <mergeCell ref="B451:D451"/>
    <mergeCell ref="B452:D452"/>
    <mergeCell ref="A453:E453"/>
    <mergeCell ref="A454:F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A463:E463"/>
    <mergeCell ref="A464:F464"/>
    <mergeCell ref="A465:F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A476:F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8:D498"/>
    <mergeCell ref="B499:D499"/>
    <mergeCell ref="B500:D500"/>
    <mergeCell ref="A501:E501"/>
    <mergeCell ref="A502:F504"/>
    <mergeCell ref="B491:D491"/>
    <mergeCell ref="A492:F492"/>
    <mergeCell ref="B493:D493"/>
    <mergeCell ref="B494:D494"/>
    <mergeCell ref="B495:D495"/>
    <mergeCell ref="A496:F496"/>
    <mergeCell ref="B497:D497"/>
  </mergeCells>
  <conditionalFormatting sqref="E11:E15 E17:E24 E26:E29 E31:E39 E41:E44 E46:E49 E52:E66 E69:E86 E88:E89 E92:E94 E97:E99 E101:E102 E105:E108 E111:E119 E123:E127 E129:E139 E142:E160 E162:E173 E176:E185 E187:E192 E195:E205 E208:E212 E215:E223 E226:E233 E236:E249 E252:E261 E264:E267 E271:E283 E285:E290 E293:E296 E298:E299 E301:E305 E307:E319 E322:E344 E347:E351 E355:E366 E369:E376 E379:E380 E383:E385 E388:E391 E394:E405 E408:E422 E425:E428 E431:E434 E437:E452 E455:E462 E466:E475 E477:E491 E493:E495 E497:E500">
    <cfRule type="containsBlanks" dxfId="0" priority="1">
      <formula>LEN(TRIM(E11))=0</formula>
    </cfRule>
  </conditionalFormatting>
  <conditionalFormatting sqref="E11:E15 E17:E24 E26:E29 E31:E39 E41:E44 E46:E49 E52:E66 E69:E86 E88:E89 E92:E94 E97:E99 E101:E102 E105:E108 E111:E119 E123:E127 E129:E139 E142:E160 E162:E173 E176:E185 E187:E192 E195:E205 E208:E212 E215:E223 E226:E233 E236:E249 E252:E261 E264:E267 E271:E283 E285:E290 E293:E296 E298:E299 E301:E305 E307:E319 E322:E344 E347:E351 E355:E366 E369:E376 E379:E380 E383:E385 E388:E391 E394:E405 E408:E422 E425:E428 E431:E434 E437:E452 E455:E462 E466:E475 E477:E491 E493:E495 E497:E500">
    <cfRule type="cellIs" dxfId="1" priority="2" operator="equal">
      <formula>"N/A"</formula>
    </cfRule>
  </conditionalFormatting>
  <conditionalFormatting sqref="E11:E15 E17:E24 E26:E29 E31:E39 E41:E44 E46:E49 E52:E66 E69:E86 E88:E89 E92:E94 E97:E99 E101:E102 E105:E108 E111:E119 E123:E127 E129:E139 E142:E160 E162:E173 E176:E185 E187:E192 E195:E205 E208:E212 E215:E223 E226:E233 E236:E249 E252:E261 E264:E267 E271:E283 E285:E290 E293:E296 E298:E299 E301:E305 E307:E319 E322:E344 E347:E351 E355:E366 E369:E376 E379:E380 E383:E385 E388:E391 E394:E405 E408:E422 E425:E428 E431:E434 E437:E452 E455:E462 E466:E475 E477:E491 E493:E495 E497:E500">
    <cfRule type="cellIs" dxfId="2" priority="3" operator="equal">
      <formula>2</formula>
    </cfRule>
  </conditionalFormatting>
  <conditionalFormatting sqref="E11:E15 E17:E24 E26:E29 E31:E39 E41:E44 E46:E49 E52:E66 E69:E86 E88:E89 E92:E94 E97:E99 E101:E102 E105:E108 E111:E119 E123:E127 E129:E139 E142:E160 E162:E173 E176:E185 E187:E192 E195:E205 E208:E212 E215:E223 E226:E233 E236:E249 E252:E261 E264:E267 E271:E283 E285:E290 E293:E296 E298:E299 E301:E305 E307:E319 E322:E344 E347:E351 E355:E366 E369:E376 E379:E380 E383:E385 E388:E391 E394:E405 E408:E422 E425:E428 E431:E434 E437:E452 E455:E462 E466:E475 E477:E491 E493:E495 E497:E500">
    <cfRule type="cellIs" dxfId="3" priority="4" operator="equal">
      <formula>1</formula>
    </cfRule>
  </conditionalFormatting>
  <conditionalFormatting sqref="H508:H515 H517:H522 H524:H526 H529:H535 H538:H542 H545:H559">
    <cfRule type="containsBlanks" dxfId="0" priority="5">
      <formula>LEN(TRIM(H508))=0</formula>
    </cfRule>
  </conditionalFormatting>
  <conditionalFormatting sqref="H508:H515 H517:H522 H524:H526 H529:H535 H538:H542 H545:H559">
    <cfRule type="cellIs" dxfId="1" priority="6" operator="equal">
      <formula>"N/A"</formula>
    </cfRule>
  </conditionalFormatting>
  <conditionalFormatting sqref="H508:H515 H517:H522 H524:H526 H529:H535 H538:H542 H545:H559">
    <cfRule type="cellIs" dxfId="2" priority="7" operator="equal">
      <formula>2</formula>
    </cfRule>
  </conditionalFormatting>
  <conditionalFormatting sqref="H508:H515 H517:H522 H524:H526 H529:H535 H538:H542 H545:H559">
    <cfRule type="cellIs" dxfId="3" priority="8" operator="equal">
      <formula>1</formula>
    </cfRule>
  </conditionalFormatting>
  <dataValidations>
    <dataValidation type="list" allowBlank="1" showErrorMessage="1" sqref="E11:E15 E17:E24 E26:E29 E31:E39 E41:E44 E46:E49 E52:E66 E69:E86 E88:E89 E92:E94 E97:E99 E101:E102 E105:E108 E111:E119 E123:E127 E129:E139 E142:E160 E162:E173 E176:E185 E187:E192 E195:E205 E208:E212 E215:E223 E226:E233 E236:E249 E252:E261 E264:E267 E271:E283 E285:E290 E293:E296 E298:E299 E301:E305 E307:E319 E322:E344 E347:E351 E355:E366 E369:E376 E379:E380 E383:E385 E388:E391 E394:E405 E408:E422 E425:E428 E431:E434 E437:E452 E455:E462 E466:E475 E477:E491 E493:E495 E497:E500 H508:H515 H517:H522 H524:H526 H529:H535 H538:H542 H545:H559">
      <formula1>'dont delete or edit'!$A$1:$A$4</formula1>
    </dataValidation>
  </dataValidations>
  <printOptions/>
  <pageMargins bottom="0.79" footer="0.0" header="0.0" left="0.69" right="0.59" top="1.0"/>
  <pageSetup paperSize="9" scale="1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rightToLeft="1" workbookViewId="0"/>
  </sheetViews>
  <sheetFormatPr customHeight="1" defaultColWidth="14.43" defaultRowHeight="15.0"/>
  <cols>
    <col customWidth="1" min="1" max="1" width="3.71"/>
    <col customWidth="1" min="2" max="2" width="59.86"/>
    <col customWidth="1" min="3" max="3" width="15.71"/>
    <col customWidth="1" min="4" max="4" width="18.71"/>
    <col customWidth="1" min="5" max="5" width="19.29"/>
    <col customWidth="1" min="6" max="6" width="29.43"/>
    <col customWidth="1" min="7" max="7" width="7.71"/>
    <col customWidth="1" min="8" max="26" width="19.86"/>
  </cols>
  <sheetData>
    <row r="1" ht="18.75" customHeight="1">
      <c r="A1" s="113" t="s">
        <v>611</v>
      </c>
      <c r="B1" s="10"/>
      <c r="C1" s="10"/>
      <c r="D1" s="10"/>
      <c r="E1" s="10"/>
      <c r="F1" s="10"/>
      <c r="G1" s="11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ht="18.75" customHeight="1">
      <c r="A2" s="12"/>
      <c r="G2" s="13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18.75" customHeight="1">
      <c r="A3" s="115"/>
      <c r="B3" s="116"/>
      <c r="C3" s="116"/>
      <c r="D3" s="116"/>
      <c r="E3" s="116"/>
      <c r="F3" s="116"/>
      <c r="G3" s="117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ht="18.75" customHeight="1">
      <c r="A4" s="118" t="s">
        <v>612</v>
      </c>
      <c r="B4" s="119" t="s">
        <v>613</v>
      </c>
      <c r="C4" s="120" t="s">
        <v>493</v>
      </c>
      <c r="D4" s="69"/>
      <c r="E4" s="70"/>
      <c r="F4" s="119" t="s">
        <v>7</v>
      </c>
      <c r="G4" s="121" t="s">
        <v>495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ht="18.75" customHeight="1">
      <c r="A5" s="122"/>
      <c r="B5" s="123"/>
      <c r="C5" s="124">
        <v>0.0</v>
      </c>
      <c r="D5" s="124">
        <v>1.0</v>
      </c>
      <c r="E5" s="124">
        <v>2.0</v>
      </c>
      <c r="F5" s="123"/>
      <c r="G5" s="78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 ht="18.75" customHeight="1">
      <c r="A6" s="79">
        <v>1.0</v>
      </c>
      <c r="B6" s="125" t="s">
        <v>614</v>
      </c>
      <c r="C6" s="125" t="s">
        <v>31</v>
      </c>
      <c r="D6" s="125" t="s">
        <v>615</v>
      </c>
      <c r="E6" s="125" t="s">
        <v>616</v>
      </c>
      <c r="F6" s="125"/>
      <c r="G6" s="39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 ht="18.75" customHeight="1">
      <c r="A7" s="79">
        <v>2.0</v>
      </c>
      <c r="B7" s="125" t="s">
        <v>617</v>
      </c>
      <c r="C7" s="125" t="s">
        <v>618</v>
      </c>
      <c r="D7" s="125" t="s">
        <v>619</v>
      </c>
      <c r="E7" s="125" t="s">
        <v>620</v>
      </c>
      <c r="F7" s="125"/>
      <c r="G7" s="39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ht="18.75" customHeight="1">
      <c r="A8" s="79">
        <v>3.0</v>
      </c>
      <c r="B8" s="125" t="s">
        <v>621</v>
      </c>
      <c r="C8" s="125" t="s">
        <v>622</v>
      </c>
      <c r="D8" s="125" t="s">
        <v>623</v>
      </c>
      <c r="E8" s="125" t="s">
        <v>624</v>
      </c>
      <c r="F8" s="125" t="s">
        <v>625</v>
      </c>
      <c r="G8" s="39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ht="18.75" customHeight="1">
      <c r="A9" s="79">
        <v>4.0</v>
      </c>
      <c r="B9" s="125" t="s">
        <v>626</v>
      </c>
      <c r="C9" s="125" t="s">
        <v>31</v>
      </c>
      <c r="D9" s="125" t="s">
        <v>627</v>
      </c>
      <c r="E9" s="125" t="s">
        <v>628</v>
      </c>
      <c r="F9" s="125" t="s">
        <v>629</v>
      </c>
      <c r="G9" s="39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18.75" customHeight="1">
      <c r="A10" s="79">
        <v>5.0</v>
      </c>
      <c r="B10" s="125" t="s">
        <v>630</v>
      </c>
      <c r="C10" s="125" t="s">
        <v>31</v>
      </c>
      <c r="D10" s="125" t="s">
        <v>631</v>
      </c>
      <c r="E10" s="125" t="s">
        <v>632</v>
      </c>
      <c r="F10" s="125" t="s">
        <v>629</v>
      </c>
      <c r="G10" s="39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ht="18.75" customHeight="1">
      <c r="A11" s="79">
        <v>6.0</v>
      </c>
      <c r="B11" s="125" t="s">
        <v>633</v>
      </c>
      <c r="C11" s="125" t="s">
        <v>31</v>
      </c>
      <c r="D11" s="125" t="s">
        <v>634</v>
      </c>
      <c r="E11" s="125" t="s">
        <v>635</v>
      </c>
      <c r="F11" s="125"/>
      <c r="G11" s="39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ht="18.75" customHeight="1">
      <c r="A12" s="79">
        <v>7.0</v>
      </c>
      <c r="B12" s="125" t="s">
        <v>636</v>
      </c>
      <c r="C12" s="125" t="s">
        <v>637</v>
      </c>
      <c r="D12" s="125" t="s">
        <v>631</v>
      </c>
      <c r="E12" s="125" t="s">
        <v>638</v>
      </c>
      <c r="F12" s="125"/>
      <c r="G12" s="39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ht="18.75" customHeight="1">
      <c r="A13" s="79">
        <v>8.0</v>
      </c>
      <c r="B13" s="125" t="s">
        <v>639</v>
      </c>
      <c r="C13" s="125" t="s">
        <v>622</v>
      </c>
      <c r="D13" s="125" t="s">
        <v>640</v>
      </c>
      <c r="E13" s="125" t="s">
        <v>641</v>
      </c>
      <c r="F13" s="125"/>
      <c r="G13" s="39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ht="18.75" customHeight="1">
      <c r="A14" s="79">
        <v>9.0</v>
      </c>
      <c r="B14" s="125" t="s">
        <v>642</v>
      </c>
      <c r="C14" s="125" t="s">
        <v>629</v>
      </c>
      <c r="D14" s="125" t="s">
        <v>643</v>
      </c>
      <c r="E14" s="125" t="s">
        <v>644</v>
      </c>
      <c r="F14" s="125"/>
      <c r="G14" s="39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ht="18.75" customHeight="1">
      <c r="A15" s="79">
        <v>10.0</v>
      </c>
      <c r="B15" s="125" t="s">
        <v>645</v>
      </c>
      <c r="C15" s="125">
        <v>2019.0</v>
      </c>
      <c r="D15" s="125">
        <v>2021.0</v>
      </c>
      <c r="E15" s="125">
        <v>2023.0</v>
      </c>
      <c r="F15" s="125"/>
      <c r="G15" s="39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ht="18.75" customHeight="1">
      <c r="A16" s="79">
        <v>11.0</v>
      </c>
      <c r="B16" s="125" t="s">
        <v>646</v>
      </c>
      <c r="C16" s="125" t="s">
        <v>647</v>
      </c>
      <c r="D16" s="125" t="s">
        <v>648</v>
      </c>
      <c r="E16" s="125" t="s">
        <v>649</v>
      </c>
      <c r="F16" s="125"/>
      <c r="G16" s="39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ht="18.75" customHeight="1">
      <c r="A17" s="79">
        <v>12.0</v>
      </c>
      <c r="B17" s="125" t="s">
        <v>650</v>
      </c>
      <c r="C17" s="125" t="s">
        <v>651</v>
      </c>
      <c r="D17" s="125" t="s">
        <v>652</v>
      </c>
      <c r="E17" s="125" t="s">
        <v>653</v>
      </c>
      <c r="F17" s="125"/>
      <c r="G17" s="39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ht="18.75" customHeight="1">
      <c r="A18" s="79">
        <v>13.0</v>
      </c>
      <c r="B18" s="125" t="s">
        <v>654</v>
      </c>
      <c r="C18" s="125" t="s">
        <v>31</v>
      </c>
      <c r="D18" s="125" t="s">
        <v>655</v>
      </c>
      <c r="E18" s="125" t="s">
        <v>656</v>
      </c>
      <c r="F18" s="125"/>
      <c r="G18" s="39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ht="18.75" customHeight="1">
      <c r="A19" s="79">
        <v>14.0</v>
      </c>
      <c r="B19" s="125" t="s">
        <v>657</v>
      </c>
      <c r="C19" s="125" t="s">
        <v>31</v>
      </c>
      <c r="D19" s="125" t="s">
        <v>658</v>
      </c>
      <c r="E19" s="125" t="s">
        <v>659</v>
      </c>
      <c r="F19" s="125"/>
      <c r="G19" s="39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ht="18.75" customHeight="1">
      <c r="A20" s="109" t="s">
        <v>660</v>
      </c>
      <c r="B20" s="59"/>
      <c r="C20" s="59"/>
      <c r="D20" s="59"/>
      <c r="E20" s="59"/>
      <c r="F20" s="126"/>
      <c r="G20" s="127" t="str">
        <f>IF(COUNT(G6:G19)=0,"N/A",SUM((G6:G19))/(COUNT((G6:G19))*2))</f>
        <v>N/A</v>
      </c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ht="18.75" customHeight="1">
      <c r="A21" s="128"/>
      <c r="B21" s="19"/>
      <c r="C21" s="19"/>
      <c r="D21" s="19"/>
      <c r="E21" s="19"/>
      <c r="F21" s="19"/>
      <c r="G21" s="19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ht="18.75" customHeight="1"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ht="18.75" customHeight="1">
      <c r="A23" s="116"/>
      <c r="B23" s="116"/>
      <c r="C23" s="116"/>
      <c r="D23" s="116"/>
      <c r="E23" s="116"/>
      <c r="F23" s="116"/>
      <c r="G23" s="116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ht="18.75" customHeight="1">
      <c r="A24" s="118" t="s">
        <v>612</v>
      </c>
      <c r="B24" s="119" t="s">
        <v>661</v>
      </c>
      <c r="C24" s="120" t="s">
        <v>493</v>
      </c>
      <c r="D24" s="69"/>
      <c r="E24" s="70"/>
      <c r="F24" s="119" t="s">
        <v>7</v>
      </c>
      <c r="G24" s="121" t="s">
        <v>495</v>
      </c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ht="18.75" customHeight="1">
      <c r="A25" s="122"/>
      <c r="B25" s="123"/>
      <c r="C25" s="124">
        <v>0.0</v>
      </c>
      <c r="D25" s="124">
        <v>1.0</v>
      </c>
      <c r="E25" s="124">
        <v>2.0</v>
      </c>
      <c r="F25" s="123"/>
      <c r="G25" s="78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ht="18.75" customHeight="1">
      <c r="A26" s="79">
        <v>18.0</v>
      </c>
      <c r="B26" s="125" t="s">
        <v>662</v>
      </c>
      <c r="C26" s="125" t="s">
        <v>31</v>
      </c>
      <c r="D26" s="125" t="s">
        <v>615</v>
      </c>
      <c r="E26" s="125" t="s">
        <v>616</v>
      </c>
      <c r="F26" s="125"/>
      <c r="G26" s="39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ht="18.75" customHeight="1">
      <c r="A27" s="79">
        <v>19.0</v>
      </c>
      <c r="B27" s="125" t="s">
        <v>617</v>
      </c>
      <c r="C27" s="125" t="s">
        <v>618</v>
      </c>
      <c r="D27" s="125" t="s">
        <v>619</v>
      </c>
      <c r="E27" s="125" t="s">
        <v>620</v>
      </c>
      <c r="F27" s="125"/>
      <c r="G27" s="39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ht="18.75" customHeight="1">
      <c r="A28" s="79">
        <v>20.0</v>
      </c>
      <c r="B28" s="125" t="s">
        <v>663</v>
      </c>
      <c r="C28" s="125" t="s">
        <v>664</v>
      </c>
      <c r="D28" s="125" t="s">
        <v>665</v>
      </c>
      <c r="E28" s="125" t="s">
        <v>666</v>
      </c>
      <c r="F28" s="125"/>
      <c r="G28" s="39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ht="18.75" customHeight="1">
      <c r="A29" s="79">
        <v>21.0</v>
      </c>
      <c r="B29" s="125" t="s">
        <v>667</v>
      </c>
      <c r="C29" s="125" t="s">
        <v>668</v>
      </c>
      <c r="D29" s="125" t="s">
        <v>669</v>
      </c>
      <c r="E29" s="124"/>
      <c r="F29" s="125"/>
      <c r="G29" s="39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ht="18.75" customHeight="1">
      <c r="A30" s="79">
        <v>22.0</v>
      </c>
      <c r="B30" s="125" t="s">
        <v>670</v>
      </c>
      <c r="C30" s="125" t="s">
        <v>671</v>
      </c>
      <c r="D30" s="125" t="s">
        <v>672</v>
      </c>
      <c r="E30" s="124"/>
      <c r="F30" s="125"/>
      <c r="G30" s="39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ht="18.75" customHeight="1">
      <c r="A31" s="79">
        <v>23.0</v>
      </c>
      <c r="B31" s="125" t="s">
        <v>673</v>
      </c>
      <c r="C31" s="125" t="s">
        <v>651</v>
      </c>
      <c r="D31" s="125" t="s">
        <v>674</v>
      </c>
      <c r="E31" s="125" t="s">
        <v>675</v>
      </c>
      <c r="F31" s="125"/>
      <c r="G31" s="39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ht="18.75" customHeight="1">
      <c r="A32" s="79">
        <v>24.0</v>
      </c>
      <c r="B32" s="125" t="s">
        <v>676</v>
      </c>
      <c r="C32" s="125" t="s">
        <v>677</v>
      </c>
      <c r="D32" s="125" t="s">
        <v>678</v>
      </c>
      <c r="E32" s="125" t="s">
        <v>679</v>
      </c>
      <c r="F32" s="125"/>
      <c r="G32" s="39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ht="18.75" customHeight="1">
      <c r="A33" s="79">
        <v>25.0</v>
      </c>
      <c r="B33" s="125" t="s">
        <v>680</v>
      </c>
      <c r="C33" s="125" t="s">
        <v>681</v>
      </c>
      <c r="D33" s="125" t="s">
        <v>682</v>
      </c>
      <c r="E33" s="124"/>
      <c r="F33" s="125"/>
      <c r="G33" s="39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ht="18.75" customHeight="1">
      <c r="A34" s="79">
        <v>26.0</v>
      </c>
      <c r="B34" s="125" t="s">
        <v>683</v>
      </c>
      <c r="C34" s="125" t="s">
        <v>31</v>
      </c>
      <c r="D34" s="125" t="s">
        <v>684</v>
      </c>
      <c r="E34" s="125" t="s">
        <v>685</v>
      </c>
      <c r="F34" s="125"/>
      <c r="G34" s="39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ht="18.75" customHeight="1">
      <c r="A35" s="79">
        <v>27.0</v>
      </c>
      <c r="B35" s="125" t="s">
        <v>686</v>
      </c>
      <c r="C35" s="125" t="s">
        <v>629</v>
      </c>
      <c r="D35" s="125" t="s">
        <v>687</v>
      </c>
      <c r="E35" s="125" t="s">
        <v>659</v>
      </c>
      <c r="F35" s="125"/>
      <c r="G35" s="39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ht="18.75" customHeight="1">
      <c r="A36" s="79">
        <v>28.0</v>
      </c>
      <c r="B36" s="125" t="s">
        <v>654</v>
      </c>
      <c r="C36" s="125" t="s">
        <v>31</v>
      </c>
      <c r="D36" s="125" t="s">
        <v>655</v>
      </c>
      <c r="E36" s="125" t="s">
        <v>656</v>
      </c>
      <c r="F36" s="125"/>
      <c r="G36" s="39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ht="18.75" customHeight="1">
      <c r="A37" s="79">
        <v>29.0</v>
      </c>
      <c r="B37" s="125" t="s">
        <v>688</v>
      </c>
      <c r="C37" s="125" t="s">
        <v>689</v>
      </c>
      <c r="D37" s="125" t="s">
        <v>690</v>
      </c>
      <c r="E37" s="125" t="s">
        <v>691</v>
      </c>
      <c r="F37" s="125"/>
      <c r="G37" s="39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ht="18.75" customHeight="1">
      <c r="A38" s="109" t="s">
        <v>660</v>
      </c>
      <c r="B38" s="59"/>
      <c r="C38" s="59"/>
      <c r="D38" s="59"/>
      <c r="E38" s="59"/>
      <c r="F38" s="126"/>
      <c r="G38" s="127" t="str">
        <f>IF(COUNT(G26:G37)=0,"N/A",SUM((G26:G37))/(COUNT((G26:G37))*2))</f>
        <v>N/A</v>
      </c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ht="18.75" customHeight="1">
      <c r="A39" s="128"/>
      <c r="B39" s="19"/>
      <c r="C39" s="19"/>
      <c r="D39" s="19"/>
      <c r="E39" s="19"/>
      <c r="F39" s="19"/>
      <c r="G39" s="19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ht="18.75" customHeight="1"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ht="18.75" customHeight="1">
      <c r="A41" s="116"/>
      <c r="B41" s="116"/>
      <c r="C41" s="116"/>
      <c r="D41" s="116"/>
      <c r="E41" s="116"/>
      <c r="F41" s="116"/>
      <c r="G41" s="116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ht="18.75" customHeight="1">
      <c r="A42" s="118" t="s">
        <v>612</v>
      </c>
      <c r="B42" s="119" t="s">
        <v>692</v>
      </c>
      <c r="C42" s="120" t="s">
        <v>493</v>
      </c>
      <c r="D42" s="69"/>
      <c r="E42" s="70"/>
      <c r="F42" s="119" t="s">
        <v>7</v>
      </c>
      <c r="G42" s="121" t="s">
        <v>495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ht="18.75" customHeight="1">
      <c r="A43" s="122"/>
      <c r="B43" s="123"/>
      <c r="C43" s="124">
        <v>0.0</v>
      </c>
      <c r="D43" s="124">
        <v>1.0</v>
      </c>
      <c r="E43" s="124">
        <v>2.0</v>
      </c>
      <c r="F43" s="123"/>
      <c r="G43" s="78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ht="18.75" customHeight="1">
      <c r="A44" s="79">
        <v>1.0</v>
      </c>
      <c r="B44" s="125" t="s">
        <v>693</v>
      </c>
      <c r="C44" s="125" t="s">
        <v>622</v>
      </c>
      <c r="D44" s="125" t="s">
        <v>694</v>
      </c>
      <c r="E44" s="125" t="s">
        <v>695</v>
      </c>
      <c r="F44" s="125" t="s">
        <v>696</v>
      </c>
      <c r="G44" s="39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ht="18.75" customHeight="1">
      <c r="A45" s="79">
        <v>2.0</v>
      </c>
      <c r="B45" s="125" t="s">
        <v>697</v>
      </c>
      <c r="C45" s="125" t="s">
        <v>618</v>
      </c>
      <c r="D45" s="125" t="s">
        <v>619</v>
      </c>
      <c r="E45" s="125" t="s">
        <v>620</v>
      </c>
      <c r="F45" s="125"/>
      <c r="G45" s="39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ht="18.75" customHeight="1">
      <c r="A46" s="79">
        <v>3.0</v>
      </c>
      <c r="B46" s="125" t="s">
        <v>698</v>
      </c>
      <c r="C46" s="125" t="s">
        <v>622</v>
      </c>
      <c r="D46" s="125" t="s">
        <v>699</v>
      </c>
      <c r="E46" s="124"/>
      <c r="F46" s="125"/>
      <c r="G46" s="39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ht="34.5" customHeight="1">
      <c r="A47" s="79">
        <v>4.0</v>
      </c>
      <c r="B47" s="125" t="s">
        <v>700</v>
      </c>
      <c r="C47" s="125" t="s">
        <v>31</v>
      </c>
      <c r="D47" s="125" t="s">
        <v>701</v>
      </c>
      <c r="E47" s="125" t="s">
        <v>702</v>
      </c>
      <c r="F47" s="125"/>
      <c r="G47" s="39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ht="18.75" customHeight="1">
      <c r="A48" s="79">
        <v>5.0</v>
      </c>
      <c r="B48" s="125" t="s">
        <v>703</v>
      </c>
      <c r="C48" s="125" t="s">
        <v>622</v>
      </c>
      <c r="D48" s="125" t="s">
        <v>704</v>
      </c>
      <c r="E48" s="125" t="s">
        <v>705</v>
      </c>
      <c r="F48" s="125"/>
      <c r="G48" s="39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ht="18.75" customHeight="1">
      <c r="A49" s="79">
        <v>6.0</v>
      </c>
      <c r="B49" s="125" t="s">
        <v>706</v>
      </c>
      <c r="C49" s="125" t="s">
        <v>622</v>
      </c>
      <c r="D49" s="125" t="s">
        <v>699</v>
      </c>
      <c r="E49" s="124"/>
      <c r="F49" s="125"/>
      <c r="G49" s="39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ht="18.75" customHeight="1">
      <c r="A50" s="79">
        <v>7.0</v>
      </c>
      <c r="B50" s="125" t="s">
        <v>707</v>
      </c>
      <c r="C50" s="125" t="s">
        <v>681</v>
      </c>
      <c r="D50" s="124"/>
      <c r="E50" s="125" t="s">
        <v>708</v>
      </c>
      <c r="F50" s="125"/>
      <c r="G50" s="39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ht="18.75" customHeight="1">
      <c r="A51" s="79">
        <v>8.0</v>
      </c>
      <c r="B51" s="125" t="s">
        <v>709</v>
      </c>
      <c r="C51" s="125" t="s">
        <v>710</v>
      </c>
      <c r="D51" s="125" t="s">
        <v>711</v>
      </c>
      <c r="E51" s="125" t="s">
        <v>712</v>
      </c>
      <c r="F51" s="125"/>
      <c r="G51" s="39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ht="18.75" customHeight="1">
      <c r="A52" s="79">
        <v>9.0</v>
      </c>
      <c r="B52" s="125" t="s">
        <v>713</v>
      </c>
      <c r="C52" s="125" t="s">
        <v>622</v>
      </c>
      <c r="D52" s="125" t="s">
        <v>704</v>
      </c>
      <c r="E52" s="125" t="s">
        <v>705</v>
      </c>
      <c r="F52" s="125"/>
      <c r="G52" s="39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ht="18.75" customHeight="1">
      <c r="A53" s="79">
        <v>10.0</v>
      </c>
      <c r="B53" s="125" t="s">
        <v>714</v>
      </c>
      <c r="C53" s="125" t="s">
        <v>622</v>
      </c>
      <c r="D53" s="125" t="s">
        <v>704</v>
      </c>
      <c r="E53" s="125" t="s">
        <v>705</v>
      </c>
      <c r="F53" s="125"/>
      <c r="G53" s="39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ht="18.75" customHeight="1">
      <c r="A54" s="79">
        <v>11.0</v>
      </c>
      <c r="B54" s="125" t="s">
        <v>715</v>
      </c>
      <c r="C54" s="125" t="s">
        <v>716</v>
      </c>
      <c r="D54" s="124"/>
      <c r="E54" s="125" t="s">
        <v>717</v>
      </c>
      <c r="F54" s="125"/>
      <c r="G54" s="39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ht="18.75" customHeight="1">
      <c r="A55" s="79">
        <v>12.0</v>
      </c>
      <c r="B55" s="125" t="s">
        <v>718</v>
      </c>
      <c r="C55" s="125" t="s">
        <v>622</v>
      </c>
      <c r="D55" s="125" t="s">
        <v>719</v>
      </c>
      <c r="E55" s="125" t="s">
        <v>659</v>
      </c>
      <c r="F55" s="125"/>
      <c r="G55" s="39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ht="18.75" customHeight="1">
      <c r="A56" s="79">
        <v>13.0</v>
      </c>
      <c r="B56" s="125" t="s">
        <v>720</v>
      </c>
      <c r="C56" s="125" t="s">
        <v>716</v>
      </c>
      <c r="D56" s="125" t="s">
        <v>717</v>
      </c>
      <c r="E56" s="124"/>
      <c r="F56" s="125"/>
      <c r="G56" s="39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ht="18.75" customHeight="1">
      <c r="A57" s="79">
        <v>14.0</v>
      </c>
      <c r="B57" s="125" t="s">
        <v>721</v>
      </c>
      <c r="C57" s="125" t="s">
        <v>716</v>
      </c>
      <c r="D57" s="125" t="s">
        <v>717</v>
      </c>
      <c r="E57" s="124"/>
      <c r="F57" s="125"/>
      <c r="G57" s="39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ht="18.75" customHeight="1">
      <c r="A58" s="79">
        <v>15.0</v>
      </c>
      <c r="B58" s="125" t="s">
        <v>722</v>
      </c>
      <c r="C58" s="125" t="s">
        <v>723</v>
      </c>
      <c r="D58" s="125" t="s">
        <v>724</v>
      </c>
      <c r="E58" s="125" t="s">
        <v>725</v>
      </c>
      <c r="F58" s="125"/>
      <c r="G58" s="39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ht="18.75" customHeight="1">
      <c r="A59" s="79">
        <v>16.0</v>
      </c>
      <c r="B59" s="125" t="s">
        <v>726</v>
      </c>
      <c r="C59" s="125" t="s">
        <v>723</v>
      </c>
      <c r="D59" s="125" t="s">
        <v>724</v>
      </c>
      <c r="E59" s="125" t="s">
        <v>725</v>
      </c>
      <c r="F59" s="125"/>
      <c r="G59" s="39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ht="18.75" customHeight="1">
      <c r="A60" s="79">
        <v>17.0</v>
      </c>
      <c r="B60" s="125" t="s">
        <v>727</v>
      </c>
      <c r="C60" s="125" t="s">
        <v>31</v>
      </c>
      <c r="D60" s="125" t="s">
        <v>655</v>
      </c>
      <c r="E60" s="125" t="s">
        <v>656</v>
      </c>
      <c r="F60" s="125"/>
      <c r="G60" s="39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ht="18.75" customHeight="1">
      <c r="A61" s="109" t="s">
        <v>660</v>
      </c>
      <c r="B61" s="59"/>
      <c r="C61" s="59"/>
      <c r="D61" s="59"/>
      <c r="E61" s="59"/>
      <c r="F61" s="126"/>
      <c r="G61" s="127" t="str">
        <f>IF(COUNT(G44:G60)=0,"N/A",SUM((G44:G60))/(COUNT((G44:G60))*2))</f>
        <v>N/A</v>
      </c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ht="18.75" customHeight="1">
      <c r="A62" s="129"/>
      <c r="B62" s="129"/>
      <c r="C62" s="129"/>
      <c r="D62" s="129"/>
      <c r="E62" s="129"/>
      <c r="F62" s="129"/>
      <c r="G62" s="129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18.75" customHeight="1">
      <c r="A63" s="131"/>
      <c r="B63" s="131"/>
      <c r="C63" s="131"/>
      <c r="D63" s="131"/>
      <c r="E63" s="131"/>
      <c r="F63" s="131"/>
      <c r="G63" s="131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18.75" customHeight="1">
      <c r="A64" s="132"/>
      <c r="B64" s="132"/>
      <c r="C64" s="132"/>
      <c r="D64" s="132"/>
      <c r="E64" s="132"/>
      <c r="F64" s="132"/>
      <c r="G64" s="132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8.75" customHeight="1">
      <c r="A65" s="118" t="s">
        <v>612</v>
      </c>
      <c r="B65" s="119" t="s">
        <v>728</v>
      </c>
      <c r="C65" s="120" t="s">
        <v>493</v>
      </c>
      <c r="D65" s="69"/>
      <c r="E65" s="70"/>
      <c r="F65" s="119" t="s">
        <v>7</v>
      </c>
      <c r="G65" s="121" t="s">
        <v>495</v>
      </c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18.75" customHeight="1">
      <c r="A66" s="122"/>
      <c r="B66" s="123"/>
      <c r="C66" s="124">
        <v>0.0</v>
      </c>
      <c r="D66" s="124">
        <v>1.0</v>
      </c>
      <c r="E66" s="124">
        <v>2.0</v>
      </c>
      <c r="F66" s="123"/>
      <c r="G66" s="78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ht="18.75" customHeight="1">
      <c r="A67" s="79">
        <v>1.0</v>
      </c>
      <c r="B67" s="125" t="s">
        <v>729</v>
      </c>
      <c r="C67" s="125" t="s">
        <v>651</v>
      </c>
      <c r="D67" s="125" t="s">
        <v>615</v>
      </c>
      <c r="E67" s="125" t="s">
        <v>616</v>
      </c>
      <c r="F67" s="125"/>
      <c r="G67" s="39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ht="18.75" customHeight="1">
      <c r="A68" s="79">
        <v>2.0</v>
      </c>
      <c r="B68" s="125" t="s">
        <v>730</v>
      </c>
      <c r="C68" s="125" t="s">
        <v>731</v>
      </c>
      <c r="D68" s="125" t="s">
        <v>732</v>
      </c>
      <c r="E68" s="125" t="s">
        <v>649</v>
      </c>
      <c r="F68" s="125"/>
      <c r="G68" s="39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ht="18.75" customHeight="1">
      <c r="A69" s="79">
        <v>3.0</v>
      </c>
      <c r="B69" s="125" t="s">
        <v>733</v>
      </c>
      <c r="C69" s="125" t="s">
        <v>723</v>
      </c>
      <c r="D69" s="125" t="s">
        <v>734</v>
      </c>
      <c r="E69" s="125" t="s">
        <v>735</v>
      </c>
      <c r="F69" s="125"/>
      <c r="G69" s="39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ht="18.75" customHeight="1">
      <c r="A70" s="79">
        <v>4.0</v>
      </c>
      <c r="B70" s="125" t="s">
        <v>697</v>
      </c>
      <c r="C70" s="125" t="s">
        <v>618</v>
      </c>
      <c r="D70" s="125" t="s">
        <v>619</v>
      </c>
      <c r="E70" s="125" t="s">
        <v>620</v>
      </c>
      <c r="F70" s="125"/>
      <c r="G70" s="39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ht="45.0" customHeight="1">
      <c r="A71" s="79">
        <v>5.0</v>
      </c>
      <c r="B71" s="125" t="s">
        <v>736</v>
      </c>
      <c r="C71" s="125" t="s">
        <v>681</v>
      </c>
      <c r="D71" s="124"/>
      <c r="E71" s="125" t="s">
        <v>708</v>
      </c>
      <c r="F71" s="125"/>
      <c r="G71" s="39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ht="43.5" customHeight="1">
      <c r="A72" s="79">
        <v>6.0</v>
      </c>
      <c r="B72" s="125" t="s">
        <v>737</v>
      </c>
      <c r="C72" s="125" t="s">
        <v>731</v>
      </c>
      <c r="D72" s="125" t="s">
        <v>732</v>
      </c>
      <c r="E72" s="125" t="s">
        <v>649</v>
      </c>
      <c r="F72" s="125"/>
      <c r="G72" s="39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ht="37.5" customHeight="1">
      <c r="A73" s="79">
        <v>7.0</v>
      </c>
      <c r="B73" s="125" t="s">
        <v>738</v>
      </c>
      <c r="C73" s="125" t="s">
        <v>681</v>
      </c>
      <c r="D73" s="125" t="s">
        <v>739</v>
      </c>
      <c r="E73" s="125" t="s">
        <v>740</v>
      </c>
      <c r="F73" s="125"/>
      <c r="G73" s="39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ht="39.0" customHeight="1">
      <c r="A74" s="79">
        <v>8.0</v>
      </c>
      <c r="B74" s="125" t="s">
        <v>741</v>
      </c>
      <c r="C74" s="125" t="s">
        <v>681</v>
      </c>
      <c r="D74" s="125" t="s">
        <v>739</v>
      </c>
      <c r="E74" s="125" t="s">
        <v>740</v>
      </c>
      <c r="F74" s="125"/>
      <c r="G74" s="39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ht="45.0" customHeight="1">
      <c r="A75" s="79">
        <v>9.0</v>
      </c>
      <c r="B75" s="125" t="s">
        <v>742</v>
      </c>
      <c r="C75" s="125" t="s">
        <v>743</v>
      </c>
      <c r="D75" s="124"/>
      <c r="E75" s="125" t="s">
        <v>744</v>
      </c>
      <c r="F75" s="125"/>
      <c r="G75" s="39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ht="18.75" customHeight="1">
      <c r="A76" s="109" t="s">
        <v>660</v>
      </c>
      <c r="B76" s="59"/>
      <c r="C76" s="59"/>
      <c r="D76" s="59"/>
      <c r="E76" s="59"/>
      <c r="F76" s="126"/>
      <c r="G76" s="127" t="str">
        <f>IF(COUNT(G67:G75)=0,"N/A",SUM((G67:G75))/(COUNT((G67:G75))*2))</f>
        <v>N/A</v>
      </c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ht="18.75" customHeight="1">
      <c r="A77" s="128"/>
      <c r="B77" s="19"/>
      <c r="C77" s="19"/>
      <c r="D77" s="19"/>
      <c r="E77" s="19"/>
      <c r="F77" s="19"/>
      <c r="G77" s="19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ht="18.75" customHeight="1"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ht="18.75" customHeight="1">
      <c r="A79" s="116"/>
      <c r="B79" s="116"/>
      <c r="C79" s="116"/>
      <c r="D79" s="116"/>
      <c r="E79" s="116"/>
      <c r="F79" s="116"/>
      <c r="G79" s="116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ht="18.75" customHeight="1">
      <c r="A80" s="118" t="s">
        <v>612</v>
      </c>
      <c r="B80" s="119" t="s">
        <v>745</v>
      </c>
      <c r="C80" s="120" t="s">
        <v>493</v>
      </c>
      <c r="D80" s="69"/>
      <c r="E80" s="70"/>
      <c r="F80" s="119" t="s">
        <v>7</v>
      </c>
      <c r="G80" s="121" t="s">
        <v>495</v>
      </c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ht="18.75" customHeight="1">
      <c r="A81" s="122"/>
      <c r="B81" s="123"/>
      <c r="C81" s="124">
        <v>0.0</v>
      </c>
      <c r="D81" s="124">
        <v>1.0</v>
      </c>
      <c r="E81" s="124">
        <v>2.0</v>
      </c>
      <c r="F81" s="123"/>
      <c r="G81" s="78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ht="38.25" customHeight="1">
      <c r="A82" s="79">
        <v>1.0</v>
      </c>
      <c r="B82" s="125" t="s">
        <v>746</v>
      </c>
      <c r="C82" s="125" t="s">
        <v>622</v>
      </c>
      <c r="D82" s="125" t="s">
        <v>694</v>
      </c>
      <c r="E82" s="125" t="s">
        <v>695</v>
      </c>
      <c r="F82" s="125"/>
      <c r="G82" s="39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ht="18.75" customHeight="1">
      <c r="A83" s="79">
        <v>2.0</v>
      </c>
      <c r="B83" s="125" t="s">
        <v>617</v>
      </c>
      <c r="C83" s="125" t="s">
        <v>618</v>
      </c>
      <c r="D83" s="125" t="s">
        <v>619</v>
      </c>
      <c r="E83" s="125" t="s">
        <v>620</v>
      </c>
      <c r="F83" s="125"/>
      <c r="G83" s="39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ht="18.75" customHeight="1">
      <c r="A84" s="79">
        <v>3.0</v>
      </c>
      <c r="B84" s="125" t="s">
        <v>747</v>
      </c>
      <c r="C84" s="125" t="s">
        <v>622</v>
      </c>
      <c r="D84" s="125" t="s">
        <v>748</v>
      </c>
      <c r="E84" s="125" t="s">
        <v>699</v>
      </c>
      <c r="F84" s="125"/>
      <c r="G84" s="39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ht="18.75" customHeight="1">
      <c r="A85" s="79">
        <v>4.0</v>
      </c>
      <c r="B85" s="125" t="s">
        <v>749</v>
      </c>
      <c r="C85" s="125" t="s">
        <v>743</v>
      </c>
      <c r="D85" s="125" t="s">
        <v>744</v>
      </c>
      <c r="E85" s="124"/>
      <c r="F85" s="125"/>
      <c r="G85" s="39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ht="18.75" customHeight="1">
      <c r="A86" s="79">
        <v>5.0</v>
      </c>
      <c r="B86" s="125" t="s">
        <v>750</v>
      </c>
      <c r="C86" s="125" t="s">
        <v>622</v>
      </c>
      <c r="D86" s="125" t="s">
        <v>751</v>
      </c>
      <c r="E86" s="124"/>
      <c r="F86" s="125"/>
      <c r="G86" s="39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ht="18.75" customHeight="1">
      <c r="A87" s="79">
        <v>6.0</v>
      </c>
      <c r="B87" s="125" t="s">
        <v>752</v>
      </c>
      <c r="C87" s="125" t="s">
        <v>622</v>
      </c>
      <c r="D87" s="125" t="s">
        <v>751</v>
      </c>
      <c r="E87" s="124"/>
      <c r="F87" s="125"/>
      <c r="G87" s="39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ht="18.75" customHeight="1">
      <c r="A88" s="79">
        <v>7.0</v>
      </c>
      <c r="B88" s="125" t="s">
        <v>753</v>
      </c>
      <c r="C88" s="125" t="s">
        <v>622</v>
      </c>
      <c r="D88" s="125" t="s">
        <v>751</v>
      </c>
      <c r="E88" s="124"/>
      <c r="F88" s="125"/>
      <c r="G88" s="39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ht="18.75" customHeight="1">
      <c r="A89" s="79">
        <v>8.0</v>
      </c>
      <c r="B89" s="125" t="s">
        <v>754</v>
      </c>
      <c r="C89" s="125" t="s">
        <v>622</v>
      </c>
      <c r="D89" s="125" t="s">
        <v>748</v>
      </c>
      <c r="E89" s="125" t="s">
        <v>699</v>
      </c>
      <c r="F89" s="125"/>
      <c r="G89" s="39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ht="18.75" customHeight="1">
      <c r="A90" s="79">
        <v>9.0</v>
      </c>
      <c r="B90" s="125" t="s">
        <v>755</v>
      </c>
      <c r="C90" s="125" t="s">
        <v>731</v>
      </c>
      <c r="D90" s="125" t="s">
        <v>732</v>
      </c>
      <c r="E90" s="125" t="s">
        <v>649</v>
      </c>
      <c r="F90" s="125"/>
      <c r="G90" s="39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ht="18.75" customHeight="1">
      <c r="A91" s="79">
        <v>10.0</v>
      </c>
      <c r="B91" s="125" t="s">
        <v>756</v>
      </c>
      <c r="C91" s="125" t="s">
        <v>622</v>
      </c>
      <c r="D91" s="125" t="s">
        <v>751</v>
      </c>
      <c r="E91" s="124"/>
      <c r="F91" s="125"/>
      <c r="G91" s="39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ht="18.75" customHeight="1">
      <c r="A92" s="79">
        <v>11.0</v>
      </c>
      <c r="B92" s="125" t="s">
        <v>713</v>
      </c>
      <c r="C92" s="125" t="s">
        <v>622</v>
      </c>
      <c r="D92" s="125" t="s">
        <v>704</v>
      </c>
      <c r="E92" s="125" t="s">
        <v>705</v>
      </c>
      <c r="F92" s="125"/>
      <c r="G92" s="39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ht="18.75" customHeight="1">
      <c r="A93" s="79">
        <v>12.0</v>
      </c>
      <c r="B93" s="125" t="s">
        <v>757</v>
      </c>
      <c r="C93" s="125" t="s">
        <v>708</v>
      </c>
      <c r="D93" s="124"/>
      <c r="E93" s="125" t="s">
        <v>681</v>
      </c>
      <c r="F93" s="125"/>
      <c r="G93" s="39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ht="18.75" customHeight="1">
      <c r="A94" s="79">
        <v>13.0</v>
      </c>
      <c r="B94" s="125" t="s">
        <v>758</v>
      </c>
      <c r="C94" s="125" t="s">
        <v>681</v>
      </c>
      <c r="D94" s="125" t="s">
        <v>759</v>
      </c>
      <c r="E94" s="125" t="s">
        <v>740</v>
      </c>
      <c r="F94" s="125"/>
      <c r="G94" s="39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ht="18.75" customHeight="1">
      <c r="A95" s="79">
        <v>14.0</v>
      </c>
      <c r="B95" s="125" t="s">
        <v>760</v>
      </c>
      <c r="C95" s="125" t="s">
        <v>681</v>
      </c>
      <c r="D95" s="125" t="s">
        <v>739</v>
      </c>
      <c r="E95" s="125" t="s">
        <v>740</v>
      </c>
      <c r="F95" s="125"/>
      <c r="G95" s="39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ht="18.75" customHeight="1">
      <c r="A96" s="109" t="s">
        <v>660</v>
      </c>
      <c r="B96" s="59"/>
      <c r="C96" s="59"/>
      <c r="D96" s="59"/>
      <c r="E96" s="59"/>
      <c r="F96" s="126"/>
      <c r="G96" s="127" t="str">
        <f>IF(COUNT(G82:G95)=0,"N/A",SUM((G82:G95))/(COUNT((G82:G95))*2))</f>
        <v>N/A</v>
      </c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ht="18.75" customHeight="1">
      <c r="A97" s="128"/>
      <c r="B97" s="19"/>
      <c r="C97" s="19"/>
      <c r="D97" s="19"/>
      <c r="E97" s="19"/>
      <c r="F97" s="19"/>
      <c r="G97" s="19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ht="18.75" customHeight="1"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ht="18.75" customHeight="1">
      <c r="A99" s="116"/>
      <c r="B99" s="116"/>
      <c r="C99" s="116"/>
      <c r="D99" s="116"/>
      <c r="E99" s="116"/>
      <c r="F99" s="116"/>
      <c r="G99" s="116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ht="18.75" customHeight="1">
      <c r="A100" s="118" t="s">
        <v>612</v>
      </c>
      <c r="B100" s="119" t="s">
        <v>761</v>
      </c>
      <c r="C100" s="120" t="s">
        <v>493</v>
      </c>
      <c r="D100" s="69"/>
      <c r="E100" s="70"/>
      <c r="F100" s="119" t="s">
        <v>7</v>
      </c>
      <c r="G100" s="121" t="s">
        <v>495</v>
      </c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ht="18.75" customHeight="1">
      <c r="A101" s="122"/>
      <c r="B101" s="123"/>
      <c r="C101" s="124">
        <v>0.0</v>
      </c>
      <c r="D101" s="124">
        <v>1.0</v>
      </c>
      <c r="E101" s="124">
        <v>2.0</v>
      </c>
      <c r="F101" s="123"/>
      <c r="G101" s="78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ht="18.75" customHeight="1">
      <c r="A102" s="79">
        <v>1.0</v>
      </c>
      <c r="B102" s="125" t="s">
        <v>762</v>
      </c>
      <c r="C102" s="125" t="s">
        <v>622</v>
      </c>
      <c r="D102" s="125" t="s">
        <v>763</v>
      </c>
      <c r="E102" s="124"/>
      <c r="F102" s="125"/>
      <c r="G102" s="39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ht="18.75" customHeight="1">
      <c r="A103" s="79">
        <v>2.0</v>
      </c>
      <c r="B103" s="125" t="s">
        <v>764</v>
      </c>
      <c r="C103" s="125" t="s">
        <v>622</v>
      </c>
      <c r="D103" s="125" t="s">
        <v>763</v>
      </c>
      <c r="E103" s="124"/>
      <c r="F103" s="125"/>
      <c r="G103" s="39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ht="18.75" customHeight="1">
      <c r="A104" s="79">
        <v>3.0</v>
      </c>
      <c r="B104" s="125" t="s">
        <v>765</v>
      </c>
      <c r="C104" s="125" t="s">
        <v>622</v>
      </c>
      <c r="D104" s="125" t="s">
        <v>763</v>
      </c>
      <c r="E104" s="124"/>
      <c r="F104" s="125"/>
      <c r="G104" s="39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ht="18.75" customHeight="1">
      <c r="A105" s="79">
        <v>4.0</v>
      </c>
      <c r="B105" s="125" t="s">
        <v>766</v>
      </c>
      <c r="C105" s="125" t="s">
        <v>622</v>
      </c>
      <c r="D105" s="125" t="s">
        <v>763</v>
      </c>
      <c r="E105" s="124"/>
      <c r="F105" s="125" t="s">
        <v>31</v>
      </c>
      <c r="G105" s="39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ht="18.75" customHeight="1">
      <c r="A106" s="79">
        <v>5.0</v>
      </c>
      <c r="B106" s="125" t="s">
        <v>767</v>
      </c>
      <c r="C106" s="125" t="s">
        <v>681</v>
      </c>
      <c r="D106" s="125" t="s">
        <v>739</v>
      </c>
      <c r="E106" s="125" t="s">
        <v>740</v>
      </c>
      <c r="F106" s="125"/>
      <c r="G106" s="39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ht="18.75" customHeight="1">
      <c r="A107" s="79">
        <v>6.0</v>
      </c>
      <c r="B107" s="125" t="s">
        <v>768</v>
      </c>
      <c r="C107" s="125" t="s">
        <v>622</v>
      </c>
      <c r="D107" s="125" t="s">
        <v>763</v>
      </c>
      <c r="E107" s="124"/>
      <c r="F107" s="125" t="s">
        <v>31</v>
      </c>
      <c r="G107" s="39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ht="18.75" customHeight="1">
      <c r="A108" s="79">
        <v>7.0</v>
      </c>
      <c r="B108" s="125" t="s">
        <v>769</v>
      </c>
      <c r="C108" s="125" t="s">
        <v>681</v>
      </c>
      <c r="D108" s="124"/>
      <c r="E108" s="125" t="s">
        <v>708</v>
      </c>
      <c r="F108" s="125"/>
      <c r="G108" s="39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ht="18.75" customHeight="1">
      <c r="A109" s="79">
        <v>8.0</v>
      </c>
      <c r="B109" s="125" t="s">
        <v>770</v>
      </c>
      <c r="C109" s="125" t="s">
        <v>681</v>
      </c>
      <c r="D109" s="124"/>
      <c r="E109" s="125" t="s">
        <v>708</v>
      </c>
      <c r="F109" s="125"/>
      <c r="G109" s="39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ht="18.75" customHeight="1">
      <c r="A110" s="79">
        <v>9.0</v>
      </c>
      <c r="B110" s="125" t="s">
        <v>771</v>
      </c>
      <c r="C110" s="125" t="s">
        <v>622</v>
      </c>
      <c r="D110" s="125" t="s">
        <v>763</v>
      </c>
      <c r="E110" s="124"/>
      <c r="F110" s="125" t="s">
        <v>31</v>
      </c>
      <c r="G110" s="39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ht="18.75" customHeight="1">
      <c r="A111" s="79">
        <v>10.0</v>
      </c>
      <c r="B111" s="125" t="s">
        <v>772</v>
      </c>
      <c r="C111" s="125" t="s">
        <v>681</v>
      </c>
      <c r="D111" s="124"/>
      <c r="E111" s="125" t="s">
        <v>708</v>
      </c>
      <c r="F111" s="125"/>
      <c r="G111" s="39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ht="18.75" customHeight="1">
      <c r="A112" s="109" t="s">
        <v>773</v>
      </c>
      <c r="B112" s="59"/>
      <c r="C112" s="59"/>
      <c r="D112" s="59"/>
      <c r="E112" s="59"/>
      <c r="F112" s="126"/>
      <c r="G112" s="127" t="str">
        <f>IF(COUNT(G102:G111)=0,"N/A",SUM((G102:G111))/(COUNT((G102:G111))*2))</f>
        <v>N/A</v>
      </c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ht="18.75" customHeight="1">
      <c r="A113" s="128"/>
      <c r="B113" s="19"/>
      <c r="C113" s="19"/>
      <c r="D113" s="19"/>
      <c r="E113" s="19"/>
      <c r="F113" s="19"/>
      <c r="G113" s="19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ht="18.75" customHeight="1"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ht="18.75" customHeight="1">
      <c r="A115" s="116"/>
      <c r="B115" s="116"/>
      <c r="C115" s="116"/>
      <c r="D115" s="116"/>
      <c r="E115" s="116"/>
      <c r="F115" s="116"/>
      <c r="G115" s="116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ht="18.75" customHeight="1">
      <c r="A116" s="118" t="s">
        <v>612</v>
      </c>
      <c r="B116" s="119" t="s">
        <v>774</v>
      </c>
      <c r="C116" s="120" t="s">
        <v>493</v>
      </c>
      <c r="D116" s="69"/>
      <c r="E116" s="70"/>
      <c r="F116" s="119" t="s">
        <v>7</v>
      </c>
      <c r="G116" s="121" t="s">
        <v>495</v>
      </c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ht="18.75" customHeight="1">
      <c r="A117" s="122"/>
      <c r="B117" s="123"/>
      <c r="C117" s="124">
        <v>0.0</v>
      </c>
      <c r="D117" s="124">
        <v>1.0</v>
      </c>
      <c r="E117" s="124">
        <v>2.0</v>
      </c>
      <c r="F117" s="123"/>
      <c r="G117" s="78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ht="18.75" customHeight="1">
      <c r="A118" s="79">
        <v>1.0</v>
      </c>
      <c r="B118" s="125" t="s">
        <v>775</v>
      </c>
      <c r="C118" s="125" t="s">
        <v>622</v>
      </c>
      <c r="D118" s="125"/>
      <c r="E118" s="125" t="s">
        <v>763</v>
      </c>
      <c r="F118" s="125"/>
      <c r="G118" s="39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ht="18.75" customHeight="1">
      <c r="A119" s="79">
        <v>2.0</v>
      </c>
      <c r="B119" s="125" t="s">
        <v>776</v>
      </c>
      <c r="C119" s="125" t="s">
        <v>622</v>
      </c>
      <c r="D119" s="125"/>
      <c r="E119" s="125" t="s">
        <v>763</v>
      </c>
      <c r="F119" s="125"/>
      <c r="G119" s="39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ht="18.75" customHeight="1">
      <c r="A120" s="79">
        <v>3.0</v>
      </c>
      <c r="B120" s="125" t="s">
        <v>777</v>
      </c>
      <c r="C120" s="125" t="s">
        <v>622</v>
      </c>
      <c r="D120" s="125"/>
      <c r="E120" s="125" t="s">
        <v>763</v>
      </c>
      <c r="F120" s="125"/>
      <c r="G120" s="39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ht="18.75" customHeight="1">
      <c r="A121" s="79">
        <v>4.0</v>
      </c>
      <c r="B121" s="125" t="s">
        <v>778</v>
      </c>
      <c r="C121" s="125" t="s">
        <v>681</v>
      </c>
      <c r="D121" s="125"/>
      <c r="E121" s="125" t="s">
        <v>779</v>
      </c>
      <c r="F121" s="125"/>
      <c r="G121" s="39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ht="18.75" customHeight="1">
      <c r="A122" s="79">
        <v>5.0</v>
      </c>
      <c r="B122" s="125" t="s">
        <v>780</v>
      </c>
      <c r="C122" s="125" t="s">
        <v>622</v>
      </c>
      <c r="D122" s="125"/>
      <c r="E122" s="125" t="s">
        <v>763</v>
      </c>
      <c r="F122" s="125"/>
      <c r="G122" s="39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ht="18.75" customHeight="1">
      <c r="A123" s="79">
        <v>6.0</v>
      </c>
      <c r="B123" s="125" t="s">
        <v>781</v>
      </c>
      <c r="C123" s="125" t="s">
        <v>622</v>
      </c>
      <c r="D123" s="125"/>
      <c r="E123" s="125" t="s">
        <v>763</v>
      </c>
      <c r="F123" s="125"/>
      <c r="G123" s="39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ht="18.75" customHeight="1">
      <c r="A124" s="79">
        <v>7.0</v>
      </c>
      <c r="B124" s="125" t="s">
        <v>764</v>
      </c>
      <c r="C124" s="125" t="s">
        <v>622</v>
      </c>
      <c r="D124" s="125"/>
      <c r="E124" s="125" t="s">
        <v>763</v>
      </c>
      <c r="F124" s="125"/>
      <c r="G124" s="39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ht="18.75" customHeight="1">
      <c r="A125" s="79">
        <v>8.0</v>
      </c>
      <c r="B125" s="125" t="s">
        <v>782</v>
      </c>
      <c r="C125" s="125" t="s">
        <v>622</v>
      </c>
      <c r="D125" s="125"/>
      <c r="E125" s="125" t="s">
        <v>763</v>
      </c>
      <c r="F125" s="125"/>
      <c r="G125" s="39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ht="18.75" customHeight="1">
      <c r="A126" s="109" t="s">
        <v>783</v>
      </c>
      <c r="B126" s="59"/>
      <c r="C126" s="59"/>
      <c r="D126" s="59"/>
      <c r="E126" s="59"/>
      <c r="F126" s="126"/>
      <c r="G126" s="127" t="str">
        <f>IF(COUNT(G118:G125)=0,"N/A",SUM((G118:G125))/(COUNT((G118:G125))*2))</f>
        <v>N/A</v>
      </c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ht="18.75" customHeight="1">
      <c r="A127" s="128"/>
      <c r="B127" s="19"/>
      <c r="C127" s="19"/>
      <c r="D127" s="19"/>
      <c r="E127" s="19"/>
      <c r="F127" s="19"/>
      <c r="G127" s="19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ht="18.75" customHeight="1"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ht="18.75" customHeight="1">
      <c r="A129" s="116"/>
      <c r="B129" s="116"/>
      <c r="C129" s="116"/>
      <c r="D129" s="116"/>
      <c r="E129" s="116"/>
      <c r="F129" s="116"/>
      <c r="G129" s="116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ht="18.75" customHeight="1">
      <c r="A130" s="118" t="s">
        <v>612</v>
      </c>
      <c r="B130" s="119" t="s">
        <v>784</v>
      </c>
      <c r="C130" s="120" t="s">
        <v>493</v>
      </c>
      <c r="D130" s="69"/>
      <c r="E130" s="70"/>
      <c r="F130" s="119" t="s">
        <v>7</v>
      </c>
      <c r="G130" s="121" t="s">
        <v>495</v>
      </c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ht="18.75" customHeight="1">
      <c r="A131" s="122"/>
      <c r="B131" s="123"/>
      <c r="C131" s="124">
        <v>0.0</v>
      </c>
      <c r="D131" s="124">
        <v>1.0</v>
      </c>
      <c r="E131" s="124">
        <v>2.0</v>
      </c>
      <c r="F131" s="123"/>
      <c r="G131" s="78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ht="18.75" customHeight="1">
      <c r="A132" s="79">
        <v>1.0</v>
      </c>
      <c r="B132" s="125" t="s">
        <v>785</v>
      </c>
      <c r="C132" s="125" t="s">
        <v>31</v>
      </c>
      <c r="D132" s="125" t="s">
        <v>615</v>
      </c>
      <c r="E132" s="125" t="s">
        <v>616</v>
      </c>
      <c r="F132" s="125"/>
      <c r="G132" s="39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ht="18.75" customHeight="1">
      <c r="A133" s="79">
        <v>2.0</v>
      </c>
      <c r="B133" s="125" t="s">
        <v>617</v>
      </c>
      <c r="C133" s="125" t="s">
        <v>618</v>
      </c>
      <c r="D133" s="125" t="s">
        <v>619</v>
      </c>
      <c r="E133" s="125" t="s">
        <v>620</v>
      </c>
      <c r="F133" s="125"/>
      <c r="G133" s="39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ht="18.75" customHeight="1">
      <c r="A134" s="79">
        <v>3.0</v>
      </c>
      <c r="B134" s="125" t="s">
        <v>621</v>
      </c>
      <c r="C134" s="125" t="s">
        <v>622</v>
      </c>
      <c r="D134" s="125" t="s">
        <v>623</v>
      </c>
      <c r="E134" s="125" t="s">
        <v>624</v>
      </c>
      <c r="F134" s="125"/>
      <c r="G134" s="39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ht="18.75" customHeight="1">
      <c r="A135" s="79">
        <v>4.0</v>
      </c>
      <c r="B135" s="125" t="s">
        <v>786</v>
      </c>
      <c r="C135" s="125" t="s">
        <v>622</v>
      </c>
      <c r="D135" s="125" t="s">
        <v>623</v>
      </c>
      <c r="E135" s="125" t="s">
        <v>624</v>
      </c>
      <c r="F135" s="125"/>
      <c r="G135" s="39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ht="18.75" customHeight="1">
      <c r="A136" s="79">
        <v>5.0</v>
      </c>
      <c r="B136" s="125" t="s">
        <v>787</v>
      </c>
      <c r="C136" s="125" t="s">
        <v>31</v>
      </c>
      <c r="D136" s="125" t="s">
        <v>615</v>
      </c>
      <c r="E136" s="125" t="s">
        <v>616</v>
      </c>
      <c r="F136" s="125"/>
      <c r="G136" s="39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ht="18.75" customHeight="1">
      <c r="A137" s="79">
        <v>6.0</v>
      </c>
      <c r="B137" s="125" t="s">
        <v>788</v>
      </c>
      <c r="C137" s="125" t="s">
        <v>31</v>
      </c>
      <c r="D137" s="125" t="s">
        <v>615</v>
      </c>
      <c r="E137" s="125" t="s">
        <v>616</v>
      </c>
      <c r="F137" s="125"/>
      <c r="G137" s="39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ht="18.75" customHeight="1">
      <c r="A138" s="79">
        <v>7.0</v>
      </c>
      <c r="B138" s="125" t="s">
        <v>789</v>
      </c>
      <c r="C138" s="125" t="s">
        <v>31</v>
      </c>
      <c r="D138" s="125" t="s">
        <v>615</v>
      </c>
      <c r="E138" s="125" t="s">
        <v>616</v>
      </c>
      <c r="F138" s="125"/>
      <c r="G138" s="39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ht="18.75" customHeight="1">
      <c r="A139" s="79">
        <v>8.0</v>
      </c>
      <c r="B139" s="125" t="s">
        <v>790</v>
      </c>
      <c r="C139" s="133"/>
      <c r="D139" s="125" t="s">
        <v>791</v>
      </c>
      <c r="E139" s="125" t="s">
        <v>792</v>
      </c>
      <c r="F139" s="125"/>
      <c r="G139" s="39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ht="18.75" customHeight="1">
      <c r="A140" s="79">
        <v>9.0</v>
      </c>
      <c r="B140" s="125" t="s">
        <v>793</v>
      </c>
      <c r="C140" s="125" t="s">
        <v>622</v>
      </c>
      <c r="D140" s="125" t="s">
        <v>794</v>
      </c>
      <c r="E140" s="125" t="s">
        <v>795</v>
      </c>
      <c r="F140" s="125"/>
      <c r="G140" s="39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ht="18.75" customHeight="1">
      <c r="A141" s="79">
        <v>10.0</v>
      </c>
      <c r="B141" s="125" t="s">
        <v>796</v>
      </c>
      <c r="C141" s="125" t="s">
        <v>622</v>
      </c>
      <c r="D141" s="125" t="s">
        <v>640</v>
      </c>
      <c r="E141" s="125" t="s">
        <v>641</v>
      </c>
      <c r="F141" s="125"/>
      <c r="G141" s="39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ht="18.75" customHeight="1">
      <c r="A142" s="79">
        <v>11.0</v>
      </c>
      <c r="B142" s="125" t="s">
        <v>797</v>
      </c>
      <c r="C142" s="125" t="s">
        <v>622</v>
      </c>
      <c r="D142" s="125" t="s">
        <v>640</v>
      </c>
      <c r="E142" s="125" t="s">
        <v>641</v>
      </c>
      <c r="F142" s="125"/>
      <c r="G142" s="39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ht="18.75" customHeight="1">
      <c r="A143" s="79">
        <v>12.0</v>
      </c>
      <c r="B143" s="125" t="s">
        <v>798</v>
      </c>
      <c r="C143" s="125" t="s">
        <v>622</v>
      </c>
      <c r="D143" s="125" t="s">
        <v>640</v>
      </c>
      <c r="E143" s="125" t="s">
        <v>641</v>
      </c>
      <c r="F143" s="125"/>
      <c r="G143" s="39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ht="18.75" customHeight="1">
      <c r="A144" s="79">
        <v>13.0</v>
      </c>
      <c r="B144" s="125" t="s">
        <v>799</v>
      </c>
      <c r="C144" s="125" t="s">
        <v>622</v>
      </c>
      <c r="D144" s="125" t="s">
        <v>640</v>
      </c>
      <c r="E144" s="125" t="s">
        <v>641</v>
      </c>
      <c r="F144" s="125"/>
      <c r="G144" s="39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ht="18.75" customHeight="1">
      <c r="A145" s="79">
        <v>14.0</v>
      </c>
      <c r="B145" s="125" t="s">
        <v>800</v>
      </c>
      <c r="C145" s="125" t="s">
        <v>622</v>
      </c>
      <c r="D145" s="125" t="s">
        <v>640</v>
      </c>
      <c r="E145" s="125" t="s">
        <v>641</v>
      </c>
      <c r="F145" s="125"/>
      <c r="G145" s="39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ht="18.75" customHeight="1">
      <c r="A146" s="109" t="s">
        <v>801</v>
      </c>
      <c r="B146" s="59"/>
      <c r="C146" s="59"/>
      <c r="D146" s="59"/>
      <c r="E146" s="59"/>
      <c r="F146" s="126"/>
      <c r="G146" s="127" t="str">
        <f>IF(COUNT(G132:G145)=0,"N/A",SUM((G132:G145))/(COUNT((G132:G145))*2))</f>
        <v>N/A</v>
      </c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ht="18.75" customHeight="1">
      <c r="A147" s="131"/>
      <c r="B147" s="131"/>
      <c r="C147" s="131"/>
      <c r="D147" s="131"/>
      <c r="E147" s="131"/>
      <c r="F147" s="131"/>
      <c r="G147" s="13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ht="18.0" customHeight="1">
      <c r="A148" s="135" t="s">
        <v>802</v>
      </c>
      <c r="B148" s="19"/>
      <c r="C148" s="19"/>
      <c r="D148" s="19"/>
      <c r="E148" s="19"/>
      <c r="F148" s="19"/>
      <c r="G148" s="136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ht="18.0" customHeight="1">
      <c r="A149" s="137"/>
      <c r="G149" s="138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ht="18.0" customHeight="1">
      <c r="A150" s="139"/>
      <c r="B150" s="140"/>
      <c r="C150" s="140"/>
      <c r="D150" s="140"/>
      <c r="E150" s="140"/>
      <c r="F150" s="140"/>
      <c r="G150" s="141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ht="18.75" customHeight="1">
      <c r="A151" s="142" t="s">
        <v>803</v>
      </c>
      <c r="B151" s="143" t="s">
        <v>804</v>
      </c>
      <c r="C151" s="144" t="s">
        <v>7</v>
      </c>
      <c r="D151" s="37"/>
      <c r="E151" s="37"/>
      <c r="F151" s="38"/>
      <c r="G151" s="145" t="s">
        <v>495</v>
      </c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ht="18.75" customHeight="1">
      <c r="A152" s="99">
        <v>1.0</v>
      </c>
      <c r="B152" s="86" t="s">
        <v>805</v>
      </c>
      <c r="C152" s="100"/>
      <c r="D152" s="37"/>
      <c r="E152" s="37"/>
      <c r="F152" s="38"/>
      <c r="G152" s="39"/>
      <c r="H152" s="146"/>
      <c r="I152" s="146"/>
      <c r="J152" s="146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ht="18.75" customHeight="1">
      <c r="A153" s="99">
        <v>2.0</v>
      </c>
      <c r="B153" s="86" t="s">
        <v>806</v>
      </c>
      <c r="C153" s="100"/>
      <c r="D153" s="37"/>
      <c r="E153" s="37"/>
      <c r="F153" s="38"/>
      <c r="G153" s="39"/>
      <c r="H153" s="146"/>
      <c r="I153" s="146"/>
      <c r="J153" s="146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ht="18.75" customHeight="1">
      <c r="A154" s="99">
        <v>3.0</v>
      </c>
      <c r="B154" s="86" t="s">
        <v>807</v>
      </c>
      <c r="C154" s="100"/>
      <c r="D154" s="37"/>
      <c r="E154" s="37"/>
      <c r="F154" s="38"/>
      <c r="G154" s="39"/>
      <c r="H154" s="146"/>
      <c r="I154" s="146"/>
      <c r="J154" s="146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ht="18.75" customHeight="1">
      <c r="A155" s="99">
        <v>4.0</v>
      </c>
      <c r="B155" s="86" t="s">
        <v>808</v>
      </c>
      <c r="C155" s="100"/>
      <c r="D155" s="37"/>
      <c r="E155" s="37"/>
      <c r="F155" s="38"/>
      <c r="G155" s="39"/>
      <c r="H155" s="146"/>
      <c r="I155" s="146"/>
      <c r="J155" s="146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ht="18.75" customHeight="1">
      <c r="A156" s="99">
        <v>5.0</v>
      </c>
      <c r="B156" s="86" t="s">
        <v>809</v>
      </c>
      <c r="C156" s="100"/>
      <c r="D156" s="37"/>
      <c r="E156" s="37"/>
      <c r="F156" s="38"/>
      <c r="G156" s="39"/>
      <c r="H156" s="146"/>
      <c r="I156" s="146"/>
      <c r="J156" s="146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ht="18.75" customHeight="1">
      <c r="A157" s="99">
        <v>6.0</v>
      </c>
      <c r="B157" s="86" t="s">
        <v>810</v>
      </c>
      <c r="C157" s="100"/>
      <c r="D157" s="37"/>
      <c r="E157" s="37"/>
      <c r="F157" s="38"/>
      <c r="G157" s="39"/>
      <c r="H157" s="146"/>
      <c r="I157" s="146"/>
      <c r="J157" s="146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ht="31.5" customHeight="1">
      <c r="A158" s="99">
        <v>7.0</v>
      </c>
      <c r="B158" s="86" t="s">
        <v>811</v>
      </c>
      <c r="C158" s="100"/>
      <c r="D158" s="37"/>
      <c r="E158" s="37"/>
      <c r="F158" s="38"/>
      <c r="G158" s="39"/>
      <c r="H158" s="146"/>
      <c r="I158" s="146"/>
      <c r="J158" s="146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ht="18.75" customHeight="1">
      <c r="A159" s="99">
        <v>8.0</v>
      </c>
      <c r="B159" s="86" t="s">
        <v>812</v>
      </c>
      <c r="C159" s="100"/>
      <c r="D159" s="37"/>
      <c r="E159" s="37"/>
      <c r="F159" s="38"/>
      <c r="G159" s="39"/>
      <c r="H159" s="146"/>
      <c r="I159" s="146"/>
      <c r="J159" s="146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ht="18.75" customHeight="1">
      <c r="A160" s="99">
        <v>9.0</v>
      </c>
      <c r="B160" s="86" t="s">
        <v>813</v>
      </c>
      <c r="C160" s="100"/>
      <c r="D160" s="37"/>
      <c r="E160" s="37"/>
      <c r="F160" s="38"/>
      <c r="G160" s="39"/>
      <c r="H160" s="146"/>
      <c r="I160" s="146"/>
      <c r="J160" s="146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ht="18.75" customHeight="1">
      <c r="A161" s="99">
        <v>10.0</v>
      </c>
      <c r="B161" s="86" t="s">
        <v>814</v>
      </c>
      <c r="C161" s="100"/>
      <c r="D161" s="37"/>
      <c r="E161" s="37"/>
      <c r="F161" s="38"/>
      <c r="G161" s="39"/>
      <c r="H161" s="146"/>
      <c r="I161" s="146"/>
      <c r="J161" s="146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ht="18.75" customHeight="1">
      <c r="A162" s="99">
        <v>11.0</v>
      </c>
      <c r="B162" s="86" t="s">
        <v>815</v>
      </c>
      <c r="C162" s="100" t="s">
        <v>31</v>
      </c>
      <c r="D162" s="37"/>
      <c r="E162" s="37"/>
      <c r="F162" s="38"/>
      <c r="G162" s="39"/>
      <c r="H162" s="146"/>
      <c r="I162" s="146"/>
      <c r="J162" s="146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ht="18.75" customHeight="1">
      <c r="A163" s="99">
        <v>12.0</v>
      </c>
      <c r="B163" s="86" t="s">
        <v>816</v>
      </c>
      <c r="C163" s="100"/>
      <c r="D163" s="37"/>
      <c r="E163" s="37"/>
      <c r="F163" s="38"/>
      <c r="G163" s="39"/>
      <c r="H163" s="146"/>
      <c r="I163" s="146"/>
      <c r="J163" s="146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ht="18.75" customHeight="1">
      <c r="A164" s="99">
        <v>13.0</v>
      </c>
      <c r="B164" s="86" t="s">
        <v>817</v>
      </c>
      <c r="C164" s="100"/>
      <c r="D164" s="37"/>
      <c r="E164" s="37"/>
      <c r="F164" s="38"/>
      <c r="G164" s="39"/>
      <c r="H164" s="146"/>
      <c r="I164" s="146"/>
      <c r="J164" s="146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ht="18.75" customHeight="1">
      <c r="A165" s="99">
        <v>14.0</v>
      </c>
      <c r="B165" s="86" t="s">
        <v>818</v>
      </c>
      <c r="C165" s="100" t="s">
        <v>819</v>
      </c>
      <c r="D165" s="37"/>
      <c r="E165" s="37"/>
      <c r="F165" s="38"/>
      <c r="G165" s="39"/>
      <c r="H165" s="146"/>
      <c r="I165" s="146"/>
      <c r="J165" s="146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ht="18.75" customHeight="1">
      <c r="A166" s="99">
        <v>15.0</v>
      </c>
      <c r="B166" s="86" t="s">
        <v>820</v>
      </c>
      <c r="C166" s="100"/>
      <c r="D166" s="37"/>
      <c r="E166" s="37"/>
      <c r="F166" s="38"/>
      <c r="G166" s="39"/>
      <c r="H166" s="146"/>
      <c r="I166" s="146"/>
      <c r="J166" s="146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ht="30.75" customHeight="1">
      <c r="A167" s="147" t="s">
        <v>821</v>
      </c>
      <c r="B167" s="59"/>
      <c r="C167" s="59"/>
      <c r="D167" s="59"/>
      <c r="E167" s="59"/>
      <c r="F167" s="126"/>
      <c r="G167" s="127" t="str">
        <f>IF(COUNT(G152:G166)=0,"N/A",SUM((G152:G166))/(COUNT((G152:G166))*2))</f>
        <v>N/A</v>
      </c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ht="18.75" customHeight="1">
      <c r="A168" s="146"/>
      <c r="B168" s="146"/>
      <c r="C168" s="146"/>
      <c r="D168" s="146"/>
      <c r="E168" s="146"/>
      <c r="F168" s="146"/>
      <c r="G168" s="146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ht="18.75" customHeight="1">
      <c r="A169" s="146"/>
      <c r="B169" s="146"/>
      <c r="C169" s="146"/>
      <c r="D169" s="146"/>
      <c r="E169" s="146"/>
      <c r="F169" s="146"/>
      <c r="G169" s="146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ht="18.75" customHeight="1">
      <c r="A170" s="146"/>
      <c r="B170" s="146"/>
      <c r="C170" s="146"/>
      <c r="D170" s="146"/>
      <c r="E170" s="146"/>
      <c r="F170" s="146"/>
      <c r="G170" s="146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ht="18.75" customHeight="1">
      <c r="A171" s="146"/>
      <c r="B171" s="146"/>
      <c r="C171" s="146"/>
      <c r="D171" s="146"/>
      <c r="E171" s="146"/>
      <c r="F171" s="146"/>
      <c r="G171" s="146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ht="18.75" customHeight="1">
      <c r="A172" s="146"/>
      <c r="B172" s="146"/>
      <c r="C172" s="146"/>
      <c r="D172" s="146"/>
      <c r="E172" s="146"/>
      <c r="F172" s="146"/>
      <c r="G172" s="146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ht="18.75" customHeight="1">
      <c r="A173" s="146"/>
      <c r="B173" s="146"/>
      <c r="C173" s="146"/>
      <c r="D173" s="146"/>
      <c r="E173" s="146"/>
      <c r="F173" s="146"/>
      <c r="G173" s="146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ht="18.75" customHeight="1">
      <c r="A174" s="146"/>
      <c r="B174" s="146"/>
      <c r="C174" s="146"/>
      <c r="D174" s="146"/>
      <c r="E174" s="146"/>
      <c r="F174" s="146"/>
      <c r="G174" s="146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ht="18.75" customHeight="1">
      <c r="A175" s="146"/>
      <c r="B175" s="146"/>
      <c r="C175" s="146"/>
      <c r="D175" s="146"/>
      <c r="E175" s="146"/>
      <c r="F175" s="146"/>
      <c r="G175" s="146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ht="18.75" customHeight="1">
      <c r="A176" s="146"/>
      <c r="B176" s="146"/>
      <c r="C176" s="146"/>
      <c r="D176" s="146"/>
      <c r="E176" s="146"/>
      <c r="F176" s="146"/>
      <c r="G176" s="146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ht="18.75" customHeight="1">
      <c r="A177" s="146"/>
      <c r="B177" s="146"/>
      <c r="C177" s="146"/>
      <c r="D177" s="146"/>
      <c r="E177" s="146"/>
      <c r="F177" s="146"/>
      <c r="G177" s="146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ht="18.75" customHeight="1">
      <c r="A178" s="146"/>
      <c r="B178" s="146"/>
      <c r="C178" s="146"/>
      <c r="D178" s="146"/>
      <c r="E178" s="146"/>
      <c r="F178" s="146"/>
      <c r="G178" s="146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ht="18.75" customHeight="1">
      <c r="A179" s="146"/>
      <c r="B179" s="146"/>
      <c r="C179" s="146"/>
      <c r="D179" s="146"/>
      <c r="E179" s="146"/>
      <c r="F179" s="146"/>
      <c r="G179" s="146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ht="18.75" customHeight="1">
      <c r="A180" s="146"/>
      <c r="B180" s="146"/>
      <c r="C180" s="146"/>
      <c r="D180" s="146"/>
      <c r="E180" s="146"/>
      <c r="F180" s="146"/>
      <c r="G180" s="146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ht="18.75" customHeight="1">
      <c r="A181" s="146"/>
      <c r="B181" s="146"/>
      <c r="C181" s="146"/>
      <c r="D181" s="146"/>
      <c r="E181" s="146"/>
      <c r="F181" s="146"/>
      <c r="G181" s="146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ht="18.75" customHeight="1">
      <c r="A182" s="146"/>
      <c r="B182" s="146"/>
      <c r="C182" s="146"/>
      <c r="D182" s="146"/>
      <c r="E182" s="146"/>
      <c r="F182" s="146"/>
      <c r="G182" s="146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ht="18.75" customHeight="1">
      <c r="A183" s="146"/>
      <c r="B183" s="146"/>
      <c r="C183" s="146"/>
      <c r="D183" s="146"/>
      <c r="E183" s="146"/>
      <c r="F183" s="146"/>
      <c r="G183" s="146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ht="18.75" customHeight="1">
      <c r="A184" s="146"/>
      <c r="B184" s="146"/>
      <c r="C184" s="146"/>
      <c r="D184" s="146"/>
      <c r="E184" s="146"/>
      <c r="F184" s="146"/>
      <c r="G184" s="146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ht="18.75" customHeight="1">
      <c r="A185" s="146"/>
      <c r="B185" s="146"/>
      <c r="C185" s="146"/>
      <c r="D185" s="146"/>
      <c r="E185" s="146"/>
      <c r="F185" s="146"/>
      <c r="G185" s="146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ht="18.75" customHeight="1">
      <c r="A186" s="146"/>
      <c r="B186" s="146"/>
      <c r="C186" s="146"/>
      <c r="D186" s="146"/>
      <c r="E186" s="146"/>
      <c r="F186" s="146"/>
      <c r="G186" s="146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ht="18.75" customHeight="1">
      <c r="A187" s="146"/>
      <c r="B187" s="146"/>
      <c r="C187" s="146"/>
      <c r="D187" s="146"/>
      <c r="E187" s="146"/>
      <c r="F187" s="146"/>
      <c r="G187" s="146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ht="18.75" customHeight="1">
      <c r="A188" s="146"/>
      <c r="B188" s="146"/>
      <c r="C188" s="146"/>
      <c r="D188" s="146"/>
      <c r="E188" s="146"/>
      <c r="F188" s="146"/>
      <c r="G188" s="146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ht="18.75" customHeight="1">
      <c r="A189" s="146"/>
      <c r="B189" s="146"/>
      <c r="C189" s="146"/>
      <c r="D189" s="146"/>
      <c r="E189" s="146"/>
      <c r="F189" s="146"/>
      <c r="G189" s="146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ht="18.75" customHeight="1">
      <c r="A190" s="146"/>
      <c r="B190" s="146"/>
      <c r="C190" s="146"/>
      <c r="D190" s="146"/>
      <c r="E190" s="146"/>
      <c r="F190" s="146"/>
      <c r="G190" s="146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ht="18.75" customHeight="1">
      <c r="A191" s="146"/>
      <c r="B191" s="146"/>
      <c r="C191" s="146"/>
      <c r="D191" s="146"/>
      <c r="E191" s="146"/>
      <c r="F191" s="146"/>
      <c r="G191" s="146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ht="18.75" customHeight="1">
      <c r="A192" s="146"/>
      <c r="B192" s="146"/>
      <c r="C192" s="146"/>
      <c r="D192" s="146"/>
      <c r="E192" s="146"/>
      <c r="F192" s="146"/>
      <c r="G192" s="146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ht="18.75" customHeight="1">
      <c r="A193" s="146"/>
      <c r="B193" s="146"/>
      <c r="C193" s="146"/>
      <c r="D193" s="146"/>
      <c r="E193" s="146"/>
      <c r="F193" s="146"/>
      <c r="G193" s="146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ht="18.75" customHeight="1">
      <c r="A194" s="146"/>
      <c r="B194" s="146"/>
      <c r="C194" s="146"/>
      <c r="D194" s="146"/>
      <c r="E194" s="146"/>
      <c r="F194" s="146"/>
      <c r="G194" s="146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ht="18.75" customHeight="1">
      <c r="A195" s="146"/>
      <c r="B195" s="146"/>
      <c r="C195" s="146"/>
      <c r="D195" s="146"/>
      <c r="E195" s="146"/>
      <c r="F195" s="146"/>
      <c r="G195" s="146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ht="18.75" customHeight="1">
      <c r="A196" s="146"/>
      <c r="B196" s="146"/>
      <c r="C196" s="146"/>
      <c r="D196" s="146"/>
      <c r="E196" s="146"/>
      <c r="F196" s="146"/>
      <c r="G196" s="146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ht="18.75" customHeight="1">
      <c r="A197" s="146"/>
      <c r="B197" s="146"/>
      <c r="C197" s="146"/>
      <c r="D197" s="146"/>
      <c r="E197" s="146"/>
      <c r="F197" s="146"/>
      <c r="G197" s="146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ht="18.75" customHeight="1">
      <c r="A198" s="146"/>
      <c r="B198" s="146"/>
      <c r="C198" s="146"/>
      <c r="D198" s="146"/>
      <c r="E198" s="146"/>
      <c r="F198" s="146"/>
      <c r="G198" s="146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ht="18.75" customHeight="1">
      <c r="A199" s="146"/>
      <c r="B199" s="146"/>
      <c r="C199" s="146"/>
      <c r="D199" s="146"/>
      <c r="E199" s="146"/>
      <c r="F199" s="146"/>
      <c r="G199" s="146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ht="18.75" customHeight="1">
      <c r="A200" s="146"/>
      <c r="B200" s="146"/>
      <c r="C200" s="146"/>
      <c r="D200" s="146"/>
      <c r="E200" s="146"/>
      <c r="F200" s="146"/>
      <c r="G200" s="146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ht="18.75" customHeight="1">
      <c r="A201" s="146"/>
      <c r="B201" s="146"/>
      <c r="C201" s="146"/>
      <c r="D201" s="146"/>
      <c r="E201" s="146"/>
      <c r="F201" s="146"/>
      <c r="G201" s="146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ht="18.75" customHeight="1">
      <c r="A202" s="146"/>
      <c r="B202" s="146"/>
      <c r="C202" s="146"/>
      <c r="D202" s="146"/>
      <c r="E202" s="146"/>
      <c r="F202" s="146"/>
      <c r="G202" s="146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ht="18.75" customHeight="1">
      <c r="A203" s="146"/>
      <c r="B203" s="146"/>
      <c r="C203" s="146"/>
      <c r="D203" s="146"/>
      <c r="E203" s="146"/>
      <c r="F203" s="146"/>
      <c r="G203" s="146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ht="18.75" customHeight="1">
      <c r="A204" s="146"/>
      <c r="B204" s="146"/>
      <c r="C204" s="146"/>
      <c r="D204" s="146"/>
      <c r="E204" s="146"/>
      <c r="F204" s="146"/>
      <c r="G204" s="146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ht="18.75" customHeight="1">
      <c r="A205" s="146"/>
      <c r="B205" s="146"/>
      <c r="C205" s="146"/>
      <c r="D205" s="146"/>
      <c r="E205" s="146"/>
      <c r="F205" s="146"/>
      <c r="G205" s="146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ht="18.75" customHeight="1">
      <c r="A206" s="146"/>
      <c r="B206" s="146"/>
      <c r="C206" s="146"/>
      <c r="D206" s="146"/>
      <c r="E206" s="146"/>
      <c r="F206" s="146"/>
      <c r="G206" s="146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ht="18.75" customHeight="1">
      <c r="A207" s="146"/>
      <c r="B207" s="146"/>
      <c r="C207" s="146"/>
      <c r="D207" s="146"/>
      <c r="E207" s="146"/>
      <c r="F207" s="146"/>
      <c r="G207" s="146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ht="18.75" customHeight="1">
      <c r="A208" s="146"/>
      <c r="B208" s="146"/>
      <c r="C208" s="146"/>
      <c r="D208" s="146"/>
      <c r="E208" s="146"/>
      <c r="F208" s="146"/>
      <c r="G208" s="146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ht="18.75" customHeight="1">
      <c r="A209" s="146"/>
      <c r="B209" s="146"/>
      <c r="C209" s="146"/>
      <c r="D209" s="146"/>
      <c r="E209" s="146"/>
      <c r="F209" s="146"/>
      <c r="G209" s="146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ht="18.75" customHeight="1">
      <c r="A210" s="146"/>
      <c r="B210" s="146"/>
      <c r="C210" s="146"/>
      <c r="D210" s="146"/>
      <c r="E210" s="146"/>
      <c r="F210" s="146"/>
      <c r="G210" s="146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ht="18.75" customHeight="1">
      <c r="A211" s="146"/>
      <c r="B211" s="146"/>
      <c r="C211" s="146"/>
      <c r="D211" s="146"/>
      <c r="E211" s="146"/>
      <c r="F211" s="146"/>
      <c r="G211" s="146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ht="18.75" customHeight="1">
      <c r="A212" s="146"/>
      <c r="B212" s="146"/>
      <c r="C212" s="146"/>
      <c r="D212" s="146"/>
      <c r="E212" s="146"/>
      <c r="F212" s="146"/>
      <c r="G212" s="146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ht="18.75" customHeight="1">
      <c r="A213" s="146"/>
      <c r="B213" s="146"/>
      <c r="C213" s="146"/>
      <c r="D213" s="146"/>
      <c r="E213" s="146"/>
      <c r="F213" s="146"/>
      <c r="G213" s="146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ht="18.75" customHeight="1">
      <c r="A214" s="146"/>
      <c r="B214" s="146"/>
      <c r="C214" s="146"/>
      <c r="D214" s="146"/>
      <c r="E214" s="146"/>
      <c r="F214" s="146"/>
      <c r="G214" s="146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ht="18.75" customHeight="1">
      <c r="A215" s="146"/>
      <c r="B215" s="146"/>
      <c r="C215" s="146"/>
      <c r="D215" s="146"/>
      <c r="E215" s="146"/>
      <c r="F215" s="146"/>
      <c r="G215" s="146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ht="18.75" customHeight="1">
      <c r="A216" s="146"/>
      <c r="B216" s="146"/>
      <c r="C216" s="146"/>
      <c r="D216" s="146"/>
      <c r="E216" s="146"/>
      <c r="F216" s="146"/>
      <c r="G216" s="146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ht="18.75" customHeight="1">
      <c r="A217" s="146"/>
      <c r="B217" s="146"/>
      <c r="C217" s="146"/>
      <c r="D217" s="146"/>
      <c r="E217" s="146"/>
      <c r="F217" s="146"/>
      <c r="G217" s="146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ht="18.75" customHeight="1">
      <c r="A218" s="146"/>
      <c r="B218" s="146"/>
      <c r="C218" s="146"/>
      <c r="D218" s="146"/>
      <c r="E218" s="146"/>
      <c r="F218" s="146"/>
      <c r="G218" s="146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ht="18.75" customHeight="1">
      <c r="A219" s="146"/>
      <c r="B219" s="146"/>
      <c r="C219" s="146"/>
      <c r="D219" s="146"/>
      <c r="E219" s="146"/>
      <c r="F219" s="146"/>
      <c r="G219" s="146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ht="18.75" customHeight="1">
      <c r="A220" s="146"/>
      <c r="B220" s="146"/>
      <c r="C220" s="146"/>
      <c r="D220" s="146"/>
      <c r="E220" s="146"/>
      <c r="F220" s="146"/>
      <c r="G220" s="146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ht="18.75" customHeight="1">
      <c r="A221" s="146"/>
      <c r="B221" s="146"/>
      <c r="C221" s="146"/>
      <c r="D221" s="146"/>
      <c r="E221" s="146"/>
      <c r="F221" s="146"/>
      <c r="G221" s="146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ht="18.75" customHeight="1">
      <c r="A222" s="146"/>
      <c r="B222" s="146"/>
      <c r="C222" s="146"/>
      <c r="D222" s="146"/>
      <c r="E222" s="146"/>
      <c r="F222" s="146"/>
      <c r="G222" s="146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ht="18.75" customHeight="1">
      <c r="A223" s="146"/>
      <c r="B223" s="146"/>
      <c r="C223" s="146"/>
      <c r="D223" s="146"/>
      <c r="E223" s="146"/>
      <c r="F223" s="146"/>
      <c r="G223" s="146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ht="18.75" customHeight="1">
      <c r="A224" s="146"/>
      <c r="B224" s="146"/>
      <c r="C224" s="146"/>
      <c r="D224" s="146"/>
      <c r="E224" s="146"/>
      <c r="F224" s="146"/>
      <c r="G224" s="146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ht="18.75" customHeight="1">
      <c r="A225" s="146"/>
      <c r="B225" s="146"/>
      <c r="C225" s="146"/>
      <c r="D225" s="146"/>
      <c r="E225" s="146"/>
      <c r="F225" s="146"/>
      <c r="G225" s="146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ht="18.75" customHeight="1">
      <c r="A226" s="146"/>
      <c r="B226" s="146"/>
      <c r="C226" s="146"/>
      <c r="D226" s="146"/>
      <c r="E226" s="146"/>
      <c r="F226" s="146"/>
      <c r="G226" s="146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ht="18.75" customHeight="1">
      <c r="A227" s="146"/>
      <c r="B227" s="146"/>
      <c r="C227" s="146"/>
      <c r="D227" s="146"/>
      <c r="E227" s="146"/>
      <c r="F227" s="146"/>
      <c r="G227" s="146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ht="18.75" customHeight="1">
      <c r="A228" s="146"/>
      <c r="B228" s="146"/>
      <c r="C228" s="146"/>
      <c r="D228" s="146"/>
      <c r="E228" s="146"/>
      <c r="F228" s="146"/>
      <c r="G228" s="146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ht="18.75" customHeight="1">
      <c r="A229" s="146"/>
      <c r="B229" s="146"/>
      <c r="C229" s="146"/>
      <c r="D229" s="146"/>
      <c r="E229" s="146"/>
      <c r="F229" s="146"/>
      <c r="G229" s="146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ht="18.75" customHeight="1">
      <c r="A230" s="146"/>
      <c r="B230" s="146"/>
      <c r="C230" s="146"/>
      <c r="D230" s="146"/>
      <c r="E230" s="146"/>
      <c r="F230" s="146"/>
      <c r="G230" s="146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ht="18.75" customHeight="1">
      <c r="A231" s="146"/>
      <c r="B231" s="146"/>
      <c r="C231" s="146"/>
      <c r="D231" s="146"/>
      <c r="E231" s="146"/>
      <c r="F231" s="146"/>
      <c r="G231" s="146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ht="18.75" customHeight="1">
      <c r="A232" s="146"/>
      <c r="B232" s="146"/>
      <c r="C232" s="146"/>
      <c r="D232" s="146"/>
      <c r="E232" s="146"/>
      <c r="F232" s="146"/>
      <c r="G232" s="146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ht="18.75" customHeight="1">
      <c r="A233" s="146"/>
      <c r="B233" s="146"/>
      <c r="C233" s="146"/>
      <c r="D233" s="146"/>
      <c r="E233" s="146"/>
      <c r="F233" s="146"/>
      <c r="G233" s="146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ht="18.75" customHeight="1">
      <c r="A234" s="146"/>
      <c r="B234" s="146"/>
      <c r="C234" s="146"/>
      <c r="D234" s="146"/>
      <c r="E234" s="146"/>
      <c r="F234" s="146"/>
      <c r="G234" s="146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ht="18.75" customHeight="1">
      <c r="A235" s="146"/>
      <c r="B235" s="146"/>
      <c r="C235" s="146"/>
      <c r="D235" s="146"/>
      <c r="E235" s="146"/>
      <c r="F235" s="146"/>
      <c r="G235" s="146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ht="18.75" customHeight="1">
      <c r="A236" s="146"/>
      <c r="B236" s="146"/>
      <c r="C236" s="146"/>
      <c r="D236" s="146"/>
      <c r="E236" s="146"/>
      <c r="F236" s="146"/>
      <c r="G236" s="146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ht="18.75" customHeight="1">
      <c r="A237" s="146"/>
      <c r="B237" s="146"/>
      <c r="C237" s="146"/>
      <c r="D237" s="146"/>
      <c r="E237" s="146"/>
      <c r="F237" s="146"/>
      <c r="G237" s="146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ht="18.75" customHeight="1">
      <c r="A238" s="146"/>
      <c r="B238" s="146"/>
      <c r="C238" s="146"/>
      <c r="D238" s="146"/>
      <c r="E238" s="146"/>
      <c r="F238" s="146"/>
      <c r="G238" s="146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ht="18.75" customHeight="1">
      <c r="A239" s="146"/>
      <c r="B239" s="146"/>
      <c r="C239" s="146"/>
      <c r="D239" s="146"/>
      <c r="E239" s="146"/>
      <c r="F239" s="146"/>
      <c r="G239" s="146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ht="18.75" customHeight="1">
      <c r="A240" s="146"/>
      <c r="B240" s="146"/>
      <c r="C240" s="146"/>
      <c r="D240" s="146"/>
      <c r="E240" s="146"/>
      <c r="F240" s="146"/>
      <c r="G240" s="146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ht="18.75" customHeight="1">
      <c r="A241" s="146"/>
      <c r="B241" s="146"/>
      <c r="C241" s="146"/>
      <c r="D241" s="146"/>
      <c r="E241" s="146"/>
      <c r="F241" s="146"/>
      <c r="G241" s="146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ht="18.75" customHeight="1">
      <c r="A242" s="146"/>
      <c r="B242" s="146"/>
      <c r="C242" s="146"/>
      <c r="D242" s="146"/>
      <c r="E242" s="146"/>
      <c r="F242" s="146"/>
      <c r="G242" s="146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ht="18.75" customHeight="1">
      <c r="A243" s="146"/>
      <c r="B243" s="146"/>
      <c r="C243" s="146"/>
      <c r="D243" s="146"/>
      <c r="E243" s="146"/>
      <c r="F243" s="146"/>
      <c r="G243" s="146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ht="18.75" customHeight="1">
      <c r="A244" s="146"/>
      <c r="B244" s="146"/>
      <c r="C244" s="146"/>
      <c r="D244" s="146"/>
      <c r="E244" s="146"/>
      <c r="F244" s="146"/>
      <c r="G244" s="146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ht="18.75" customHeight="1">
      <c r="A245" s="146"/>
      <c r="B245" s="146"/>
      <c r="C245" s="146"/>
      <c r="D245" s="146"/>
      <c r="E245" s="146"/>
      <c r="F245" s="146"/>
      <c r="G245" s="146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ht="18.75" customHeight="1">
      <c r="A246" s="146"/>
      <c r="B246" s="146"/>
      <c r="C246" s="146"/>
      <c r="D246" s="146"/>
      <c r="E246" s="146"/>
      <c r="F246" s="146"/>
      <c r="G246" s="146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ht="18.75" customHeight="1">
      <c r="A247" s="146"/>
      <c r="B247" s="146"/>
      <c r="C247" s="146"/>
      <c r="D247" s="146"/>
      <c r="E247" s="146"/>
      <c r="F247" s="146"/>
      <c r="G247" s="146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ht="18.75" customHeight="1">
      <c r="A248" s="146"/>
      <c r="B248" s="146"/>
      <c r="C248" s="146"/>
      <c r="D248" s="146"/>
      <c r="E248" s="146"/>
      <c r="F248" s="146"/>
      <c r="G248" s="146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ht="18.75" customHeight="1">
      <c r="A249" s="146"/>
      <c r="B249" s="146"/>
      <c r="C249" s="146"/>
      <c r="D249" s="146"/>
      <c r="E249" s="146"/>
      <c r="F249" s="146"/>
      <c r="G249" s="146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ht="18.75" customHeight="1">
      <c r="A250" s="146"/>
      <c r="B250" s="146"/>
      <c r="C250" s="146"/>
      <c r="D250" s="146"/>
      <c r="E250" s="146"/>
      <c r="F250" s="146"/>
      <c r="G250" s="146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ht="18.75" customHeight="1">
      <c r="A251" s="146"/>
      <c r="B251" s="146"/>
      <c r="C251" s="146"/>
      <c r="D251" s="146"/>
      <c r="E251" s="146"/>
      <c r="F251" s="146"/>
      <c r="G251" s="146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ht="18.75" customHeight="1">
      <c r="A252" s="146"/>
      <c r="B252" s="146"/>
      <c r="C252" s="146"/>
      <c r="D252" s="146"/>
      <c r="E252" s="146"/>
      <c r="F252" s="146"/>
      <c r="G252" s="146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ht="18.75" customHeight="1">
      <c r="A253" s="146"/>
      <c r="B253" s="146"/>
      <c r="C253" s="146"/>
      <c r="D253" s="146"/>
      <c r="E253" s="146"/>
      <c r="F253" s="146"/>
      <c r="G253" s="146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ht="18.75" customHeight="1">
      <c r="A254" s="146"/>
      <c r="B254" s="146"/>
      <c r="C254" s="146"/>
      <c r="D254" s="146"/>
      <c r="E254" s="146"/>
      <c r="F254" s="146"/>
      <c r="G254" s="146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ht="18.75" customHeight="1">
      <c r="A255" s="146"/>
      <c r="B255" s="146"/>
      <c r="C255" s="146"/>
      <c r="D255" s="146"/>
      <c r="E255" s="146"/>
      <c r="F255" s="146"/>
      <c r="G255" s="146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ht="18.75" customHeight="1">
      <c r="A256" s="146"/>
      <c r="B256" s="146"/>
      <c r="C256" s="146"/>
      <c r="D256" s="146"/>
      <c r="E256" s="146"/>
      <c r="F256" s="146"/>
      <c r="G256" s="146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ht="18.75" customHeight="1">
      <c r="A257" s="146"/>
      <c r="B257" s="146"/>
      <c r="C257" s="146"/>
      <c r="D257" s="146"/>
      <c r="E257" s="146"/>
      <c r="F257" s="146"/>
      <c r="G257" s="146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ht="18.75" customHeight="1">
      <c r="A258" s="146"/>
      <c r="B258" s="146"/>
      <c r="C258" s="146"/>
      <c r="D258" s="146"/>
      <c r="E258" s="146"/>
      <c r="F258" s="146"/>
      <c r="G258" s="146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ht="18.75" customHeight="1">
      <c r="A259" s="146"/>
      <c r="B259" s="146"/>
      <c r="C259" s="146"/>
      <c r="D259" s="146"/>
      <c r="E259" s="146"/>
      <c r="F259" s="146"/>
      <c r="G259" s="146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ht="18.75" customHeight="1">
      <c r="A260" s="146"/>
      <c r="B260" s="146"/>
      <c r="C260" s="146"/>
      <c r="D260" s="146"/>
      <c r="E260" s="146"/>
      <c r="F260" s="146"/>
      <c r="G260" s="146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ht="18.75" customHeight="1">
      <c r="A261" s="146"/>
      <c r="B261" s="146"/>
      <c r="C261" s="146"/>
      <c r="D261" s="146"/>
      <c r="E261" s="146"/>
      <c r="F261" s="146"/>
      <c r="G261" s="146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ht="18.75" customHeight="1">
      <c r="A262" s="146"/>
      <c r="B262" s="146"/>
      <c r="C262" s="146"/>
      <c r="D262" s="146"/>
      <c r="E262" s="146"/>
      <c r="F262" s="146"/>
      <c r="G262" s="146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ht="18.75" customHeight="1">
      <c r="A263" s="146"/>
      <c r="B263" s="146"/>
      <c r="C263" s="146"/>
      <c r="D263" s="146"/>
      <c r="E263" s="146"/>
      <c r="F263" s="146"/>
      <c r="G263" s="146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ht="18.75" customHeight="1">
      <c r="A264" s="146"/>
      <c r="B264" s="146"/>
      <c r="C264" s="146"/>
      <c r="D264" s="146"/>
      <c r="E264" s="146"/>
      <c r="F264" s="146"/>
      <c r="G264" s="146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ht="18.75" customHeight="1">
      <c r="A265" s="146"/>
      <c r="B265" s="146"/>
      <c r="C265" s="146"/>
      <c r="D265" s="146"/>
      <c r="E265" s="146"/>
      <c r="F265" s="146"/>
      <c r="G265" s="146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ht="18.75" customHeight="1">
      <c r="A266" s="146"/>
      <c r="B266" s="146"/>
      <c r="C266" s="146"/>
      <c r="D266" s="146"/>
      <c r="E266" s="146"/>
      <c r="F266" s="146"/>
      <c r="G266" s="146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ht="18.75" customHeight="1">
      <c r="A267" s="146"/>
      <c r="B267" s="146"/>
      <c r="C267" s="146"/>
      <c r="D267" s="146"/>
      <c r="E267" s="146"/>
      <c r="F267" s="146"/>
      <c r="G267" s="146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ht="18.75" customHeight="1">
      <c r="A268" s="146"/>
      <c r="B268" s="146"/>
      <c r="C268" s="146"/>
      <c r="D268" s="146"/>
      <c r="E268" s="146"/>
      <c r="F268" s="146"/>
      <c r="G268" s="146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ht="18.75" customHeight="1">
      <c r="A269" s="146"/>
      <c r="B269" s="146"/>
      <c r="C269" s="146"/>
      <c r="D269" s="146"/>
      <c r="E269" s="146"/>
      <c r="F269" s="146"/>
      <c r="G269" s="146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ht="18.75" customHeight="1">
      <c r="A270" s="146"/>
      <c r="B270" s="146"/>
      <c r="C270" s="146"/>
      <c r="D270" s="146"/>
      <c r="E270" s="146"/>
      <c r="F270" s="146"/>
      <c r="G270" s="146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ht="18.75" customHeight="1">
      <c r="A271" s="146"/>
      <c r="B271" s="146"/>
      <c r="C271" s="146"/>
      <c r="D271" s="146"/>
      <c r="E271" s="146"/>
      <c r="F271" s="146"/>
      <c r="G271" s="146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ht="18.75" customHeight="1">
      <c r="A272" s="146"/>
      <c r="B272" s="146"/>
      <c r="C272" s="146"/>
      <c r="D272" s="146"/>
      <c r="E272" s="146"/>
      <c r="F272" s="146"/>
      <c r="G272" s="146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ht="18.75" customHeight="1">
      <c r="A273" s="146"/>
      <c r="B273" s="146"/>
      <c r="C273" s="146"/>
      <c r="D273" s="146"/>
      <c r="E273" s="146"/>
      <c r="F273" s="146"/>
      <c r="G273" s="146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ht="18.75" customHeight="1">
      <c r="A274" s="146"/>
      <c r="B274" s="146"/>
      <c r="C274" s="146"/>
      <c r="D274" s="146"/>
      <c r="E274" s="146"/>
      <c r="F274" s="146"/>
      <c r="G274" s="146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ht="18.75" customHeight="1">
      <c r="A275" s="146"/>
      <c r="B275" s="146"/>
      <c r="C275" s="146"/>
      <c r="D275" s="146"/>
      <c r="E275" s="146"/>
      <c r="F275" s="146"/>
      <c r="G275" s="146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ht="18.75" customHeight="1">
      <c r="A276" s="146"/>
      <c r="B276" s="146"/>
      <c r="C276" s="146"/>
      <c r="D276" s="146"/>
      <c r="E276" s="146"/>
      <c r="F276" s="146"/>
      <c r="G276" s="146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ht="18.75" customHeight="1">
      <c r="A277" s="146"/>
      <c r="B277" s="146"/>
      <c r="C277" s="146"/>
      <c r="D277" s="146"/>
      <c r="E277" s="146"/>
      <c r="F277" s="146"/>
      <c r="G277" s="146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ht="18.75" customHeight="1">
      <c r="A278" s="146"/>
      <c r="B278" s="146"/>
      <c r="C278" s="146"/>
      <c r="D278" s="146"/>
      <c r="E278" s="146"/>
      <c r="F278" s="146"/>
      <c r="G278" s="146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ht="18.75" customHeight="1">
      <c r="A279" s="146"/>
      <c r="B279" s="146"/>
      <c r="C279" s="146"/>
      <c r="D279" s="146"/>
      <c r="E279" s="146"/>
      <c r="F279" s="146"/>
      <c r="G279" s="146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ht="18.75" customHeight="1">
      <c r="A280" s="146"/>
      <c r="B280" s="146"/>
      <c r="C280" s="146"/>
      <c r="D280" s="146"/>
      <c r="E280" s="146"/>
      <c r="F280" s="146"/>
      <c r="G280" s="146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ht="18.75" customHeight="1">
      <c r="A281" s="146"/>
      <c r="B281" s="146"/>
      <c r="C281" s="146"/>
      <c r="D281" s="146"/>
      <c r="E281" s="146"/>
      <c r="F281" s="146"/>
      <c r="G281" s="146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ht="18.75" customHeight="1">
      <c r="A282" s="146"/>
      <c r="B282" s="146"/>
      <c r="C282" s="146"/>
      <c r="D282" s="146"/>
      <c r="E282" s="146"/>
      <c r="F282" s="146"/>
      <c r="G282" s="146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ht="18.75" customHeight="1">
      <c r="A283" s="146"/>
      <c r="B283" s="146"/>
      <c r="C283" s="146"/>
      <c r="D283" s="146"/>
      <c r="E283" s="146"/>
      <c r="F283" s="146"/>
      <c r="G283" s="146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ht="18.75" customHeight="1">
      <c r="A284" s="146"/>
      <c r="B284" s="146"/>
      <c r="C284" s="146"/>
      <c r="D284" s="146"/>
      <c r="E284" s="146"/>
      <c r="F284" s="146"/>
      <c r="G284" s="146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ht="18.75" customHeight="1">
      <c r="A285" s="146"/>
      <c r="B285" s="146"/>
      <c r="C285" s="146"/>
      <c r="D285" s="146"/>
      <c r="E285" s="146"/>
      <c r="F285" s="146"/>
      <c r="G285" s="146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ht="18.75" customHeight="1">
      <c r="A286" s="146"/>
      <c r="B286" s="146"/>
      <c r="C286" s="146"/>
      <c r="D286" s="146"/>
      <c r="E286" s="146"/>
      <c r="F286" s="146"/>
      <c r="G286" s="146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ht="18.75" customHeight="1">
      <c r="A287" s="146"/>
      <c r="B287" s="146"/>
      <c r="C287" s="146"/>
      <c r="D287" s="146"/>
      <c r="E287" s="146"/>
      <c r="F287" s="146"/>
      <c r="G287" s="146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ht="18.75" customHeight="1">
      <c r="A288" s="146"/>
      <c r="B288" s="146"/>
      <c r="C288" s="146"/>
      <c r="D288" s="146"/>
      <c r="E288" s="146"/>
      <c r="F288" s="146"/>
      <c r="G288" s="146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ht="18.75" customHeight="1">
      <c r="A289" s="146"/>
      <c r="B289" s="146"/>
      <c r="C289" s="146"/>
      <c r="D289" s="146"/>
      <c r="E289" s="146"/>
      <c r="F289" s="146"/>
      <c r="G289" s="146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ht="18.75" customHeight="1">
      <c r="A290" s="146"/>
      <c r="B290" s="146"/>
      <c r="C290" s="146"/>
      <c r="D290" s="146"/>
      <c r="E290" s="146"/>
      <c r="F290" s="146"/>
      <c r="G290" s="146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ht="18.75" customHeight="1">
      <c r="A291" s="146"/>
      <c r="B291" s="146"/>
      <c r="C291" s="146"/>
      <c r="D291" s="146"/>
      <c r="E291" s="146"/>
      <c r="F291" s="146"/>
      <c r="G291" s="146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ht="18.75" customHeight="1">
      <c r="A292" s="146"/>
      <c r="B292" s="146"/>
      <c r="C292" s="146"/>
      <c r="D292" s="146"/>
      <c r="E292" s="146"/>
      <c r="F292" s="146"/>
      <c r="G292" s="146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ht="18.75" customHeight="1">
      <c r="A293" s="146"/>
      <c r="B293" s="146"/>
      <c r="C293" s="146"/>
      <c r="D293" s="146"/>
      <c r="E293" s="146"/>
      <c r="F293" s="146"/>
      <c r="G293" s="146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ht="18.75" customHeight="1">
      <c r="A294" s="146"/>
      <c r="B294" s="146"/>
      <c r="C294" s="146"/>
      <c r="D294" s="146"/>
      <c r="E294" s="146"/>
      <c r="F294" s="146"/>
      <c r="G294" s="146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ht="18.75" customHeight="1">
      <c r="A295" s="146"/>
      <c r="B295" s="146"/>
      <c r="C295" s="146"/>
      <c r="D295" s="146"/>
      <c r="E295" s="146"/>
      <c r="F295" s="146"/>
      <c r="G295" s="146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ht="18.75" customHeight="1">
      <c r="A296" s="146"/>
      <c r="B296" s="146"/>
      <c r="C296" s="146"/>
      <c r="D296" s="146"/>
      <c r="E296" s="146"/>
      <c r="F296" s="146"/>
      <c r="G296" s="146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ht="18.75" customHeight="1">
      <c r="A297" s="146"/>
      <c r="B297" s="146"/>
      <c r="C297" s="146"/>
      <c r="D297" s="146"/>
      <c r="E297" s="146"/>
      <c r="F297" s="146"/>
      <c r="G297" s="146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ht="18.75" customHeight="1">
      <c r="A298" s="146"/>
      <c r="B298" s="146"/>
      <c r="C298" s="146"/>
      <c r="D298" s="146"/>
      <c r="E298" s="146"/>
      <c r="F298" s="146"/>
      <c r="G298" s="146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ht="18.75" customHeight="1">
      <c r="A299" s="146"/>
      <c r="B299" s="146"/>
      <c r="C299" s="146"/>
      <c r="D299" s="146"/>
      <c r="E299" s="146"/>
      <c r="F299" s="146"/>
      <c r="G299" s="146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ht="18.75" customHeight="1">
      <c r="A300" s="146"/>
      <c r="B300" s="146"/>
      <c r="C300" s="146"/>
      <c r="D300" s="146"/>
      <c r="E300" s="146"/>
      <c r="F300" s="146"/>
      <c r="G300" s="146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ht="18.75" customHeight="1">
      <c r="A301" s="146"/>
      <c r="B301" s="146"/>
      <c r="C301" s="146"/>
      <c r="D301" s="146"/>
      <c r="E301" s="146"/>
      <c r="F301" s="146"/>
      <c r="G301" s="146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ht="18.75" customHeight="1">
      <c r="A302" s="146"/>
      <c r="B302" s="146"/>
      <c r="C302" s="146"/>
      <c r="D302" s="146"/>
      <c r="E302" s="146"/>
      <c r="F302" s="146"/>
      <c r="G302" s="146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ht="18.75" customHeight="1">
      <c r="A303" s="146"/>
      <c r="B303" s="146"/>
      <c r="C303" s="146"/>
      <c r="D303" s="146"/>
      <c r="E303" s="146"/>
      <c r="F303" s="146"/>
      <c r="G303" s="146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ht="18.75" customHeight="1">
      <c r="A304" s="146"/>
      <c r="B304" s="146"/>
      <c r="C304" s="146"/>
      <c r="D304" s="146"/>
      <c r="E304" s="146"/>
      <c r="F304" s="146"/>
      <c r="G304" s="146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ht="18.75" customHeight="1">
      <c r="A305" s="146"/>
      <c r="B305" s="146"/>
      <c r="C305" s="146"/>
      <c r="D305" s="146"/>
      <c r="E305" s="146"/>
      <c r="F305" s="146"/>
      <c r="G305" s="146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ht="18.75" customHeight="1">
      <c r="A306" s="146"/>
      <c r="B306" s="146"/>
      <c r="C306" s="146"/>
      <c r="D306" s="146"/>
      <c r="E306" s="146"/>
      <c r="F306" s="146"/>
      <c r="G306" s="146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ht="18.75" customHeight="1">
      <c r="A307" s="146"/>
      <c r="B307" s="146"/>
      <c r="C307" s="146"/>
      <c r="D307" s="146"/>
      <c r="E307" s="146"/>
      <c r="F307" s="146"/>
      <c r="G307" s="146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ht="18.75" customHeight="1">
      <c r="A308" s="146"/>
      <c r="B308" s="146"/>
      <c r="C308" s="146"/>
      <c r="D308" s="146"/>
      <c r="E308" s="146"/>
      <c r="F308" s="146"/>
      <c r="G308" s="146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ht="18.75" customHeight="1">
      <c r="A309" s="146"/>
      <c r="B309" s="146"/>
      <c r="C309" s="146"/>
      <c r="D309" s="146"/>
      <c r="E309" s="146"/>
      <c r="F309" s="146"/>
      <c r="G309" s="146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ht="18.75" customHeight="1">
      <c r="A310" s="146"/>
      <c r="B310" s="146"/>
      <c r="C310" s="146"/>
      <c r="D310" s="146"/>
      <c r="E310" s="146"/>
      <c r="F310" s="146"/>
      <c r="G310" s="146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ht="18.75" customHeight="1">
      <c r="A311" s="146"/>
      <c r="B311" s="146"/>
      <c r="C311" s="146"/>
      <c r="D311" s="146"/>
      <c r="E311" s="146"/>
      <c r="F311" s="146"/>
      <c r="G311" s="146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ht="18.75" customHeight="1">
      <c r="A312" s="146"/>
      <c r="B312" s="146"/>
      <c r="C312" s="146"/>
      <c r="D312" s="146"/>
      <c r="E312" s="146"/>
      <c r="F312" s="146"/>
      <c r="G312" s="146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ht="18.75" customHeight="1">
      <c r="A313" s="146"/>
      <c r="B313" s="146"/>
      <c r="C313" s="146"/>
      <c r="D313" s="146"/>
      <c r="E313" s="146"/>
      <c r="F313" s="146"/>
      <c r="G313" s="146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ht="18.75" customHeight="1">
      <c r="A314" s="146"/>
      <c r="B314" s="146"/>
      <c r="C314" s="146"/>
      <c r="D314" s="146"/>
      <c r="E314" s="146"/>
      <c r="F314" s="146"/>
      <c r="G314" s="146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ht="18.75" customHeight="1">
      <c r="A315" s="146"/>
      <c r="B315" s="146"/>
      <c r="C315" s="146"/>
      <c r="D315" s="146"/>
      <c r="E315" s="146"/>
      <c r="F315" s="146"/>
      <c r="G315" s="146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ht="18.75" customHeight="1">
      <c r="A316" s="146"/>
      <c r="B316" s="146"/>
      <c r="C316" s="146"/>
      <c r="D316" s="146"/>
      <c r="E316" s="146"/>
      <c r="F316" s="146"/>
      <c r="G316" s="146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ht="18.75" customHeight="1">
      <c r="A317" s="146"/>
      <c r="B317" s="146"/>
      <c r="C317" s="146"/>
      <c r="D317" s="146"/>
      <c r="E317" s="146"/>
      <c r="F317" s="146"/>
      <c r="G317" s="146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ht="18.75" customHeight="1">
      <c r="A318" s="146"/>
      <c r="B318" s="146"/>
      <c r="C318" s="146"/>
      <c r="D318" s="146"/>
      <c r="E318" s="146"/>
      <c r="F318" s="146"/>
      <c r="G318" s="146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ht="18.75" customHeight="1">
      <c r="A319" s="146"/>
      <c r="B319" s="146"/>
      <c r="C319" s="146"/>
      <c r="D319" s="146"/>
      <c r="E319" s="146"/>
      <c r="F319" s="146"/>
      <c r="G319" s="146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ht="18.75" customHeight="1">
      <c r="A320" s="146"/>
      <c r="B320" s="146"/>
      <c r="C320" s="146"/>
      <c r="D320" s="146"/>
      <c r="E320" s="146"/>
      <c r="F320" s="146"/>
      <c r="G320" s="146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ht="18.75" customHeight="1">
      <c r="A321" s="146"/>
      <c r="B321" s="146"/>
      <c r="C321" s="146"/>
      <c r="D321" s="146"/>
      <c r="E321" s="146"/>
      <c r="F321" s="146"/>
      <c r="G321" s="146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ht="18.75" customHeight="1">
      <c r="A322" s="146"/>
      <c r="B322" s="146"/>
      <c r="C322" s="146"/>
      <c r="D322" s="146"/>
      <c r="E322" s="146"/>
      <c r="F322" s="146"/>
      <c r="G322" s="146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ht="18.75" customHeight="1">
      <c r="A323" s="146"/>
      <c r="B323" s="146"/>
      <c r="C323" s="146"/>
      <c r="D323" s="146"/>
      <c r="E323" s="146"/>
      <c r="F323" s="146"/>
      <c r="G323" s="146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ht="18.75" customHeight="1">
      <c r="A324" s="146"/>
      <c r="B324" s="146"/>
      <c r="C324" s="146"/>
      <c r="D324" s="146"/>
      <c r="E324" s="146"/>
      <c r="F324" s="146"/>
      <c r="G324" s="146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ht="18.75" customHeight="1">
      <c r="A325" s="146"/>
      <c r="B325" s="146"/>
      <c r="C325" s="146"/>
      <c r="D325" s="146"/>
      <c r="E325" s="146"/>
      <c r="F325" s="146"/>
      <c r="G325" s="146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ht="18.75" customHeight="1">
      <c r="A326" s="146"/>
      <c r="B326" s="146"/>
      <c r="C326" s="146"/>
      <c r="D326" s="146"/>
      <c r="E326" s="146"/>
      <c r="F326" s="146"/>
      <c r="G326" s="146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ht="18.75" customHeight="1">
      <c r="A327" s="146"/>
      <c r="B327" s="146"/>
      <c r="C327" s="146"/>
      <c r="D327" s="146"/>
      <c r="E327" s="146"/>
      <c r="F327" s="146"/>
      <c r="G327" s="146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ht="18.75" customHeight="1">
      <c r="A328" s="146"/>
      <c r="B328" s="146"/>
      <c r="C328" s="146"/>
      <c r="D328" s="146"/>
      <c r="E328" s="146"/>
      <c r="F328" s="146"/>
      <c r="G328" s="146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ht="18.75" customHeight="1">
      <c r="A329" s="146"/>
      <c r="B329" s="146"/>
      <c r="C329" s="146"/>
      <c r="D329" s="146"/>
      <c r="E329" s="146"/>
      <c r="F329" s="146"/>
      <c r="G329" s="146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ht="18.75" customHeight="1">
      <c r="A330" s="146"/>
      <c r="B330" s="146"/>
      <c r="C330" s="146"/>
      <c r="D330" s="146"/>
      <c r="E330" s="146"/>
      <c r="F330" s="146"/>
      <c r="G330" s="146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ht="18.75" customHeight="1">
      <c r="A331" s="146"/>
      <c r="B331" s="146"/>
      <c r="C331" s="146"/>
      <c r="D331" s="146"/>
      <c r="E331" s="146"/>
      <c r="F331" s="146"/>
      <c r="G331" s="146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ht="18.75" customHeight="1">
      <c r="A332" s="146"/>
      <c r="B332" s="146"/>
      <c r="C332" s="146"/>
      <c r="D332" s="146"/>
      <c r="E332" s="146"/>
      <c r="F332" s="146"/>
      <c r="G332" s="146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ht="18.75" customHeight="1">
      <c r="A333" s="146"/>
      <c r="B333" s="146"/>
      <c r="C333" s="146"/>
      <c r="D333" s="146"/>
      <c r="E333" s="146"/>
      <c r="F333" s="146"/>
      <c r="G333" s="146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ht="18.75" customHeight="1">
      <c r="A334" s="146"/>
      <c r="B334" s="146"/>
      <c r="C334" s="146"/>
      <c r="D334" s="146"/>
      <c r="E334" s="146"/>
      <c r="F334" s="146"/>
      <c r="G334" s="146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ht="18.75" customHeight="1">
      <c r="A335" s="146"/>
      <c r="B335" s="146"/>
      <c r="C335" s="146"/>
      <c r="D335" s="146"/>
      <c r="E335" s="146"/>
      <c r="F335" s="146"/>
      <c r="G335" s="146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ht="18.75" customHeight="1">
      <c r="A336" s="146"/>
      <c r="B336" s="146"/>
      <c r="C336" s="146"/>
      <c r="D336" s="146"/>
      <c r="E336" s="146"/>
      <c r="F336" s="146"/>
      <c r="G336" s="146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ht="18.75" customHeight="1">
      <c r="A337" s="146"/>
      <c r="B337" s="146"/>
      <c r="C337" s="146"/>
      <c r="D337" s="146"/>
      <c r="E337" s="146"/>
      <c r="F337" s="146"/>
      <c r="G337" s="146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ht="18.75" customHeight="1">
      <c r="A338" s="146"/>
      <c r="B338" s="146"/>
      <c r="C338" s="146"/>
      <c r="D338" s="146"/>
      <c r="E338" s="146"/>
      <c r="F338" s="146"/>
      <c r="G338" s="146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ht="18.75" customHeight="1">
      <c r="A339" s="146"/>
      <c r="B339" s="146"/>
      <c r="C339" s="146"/>
      <c r="D339" s="146"/>
      <c r="E339" s="146"/>
      <c r="F339" s="146"/>
      <c r="G339" s="146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ht="18.75" customHeight="1">
      <c r="A340" s="146"/>
      <c r="B340" s="146"/>
      <c r="C340" s="146"/>
      <c r="D340" s="146"/>
      <c r="E340" s="146"/>
      <c r="F340" s="146"/>
      <c r="G340" s="146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ht="18.75" customHeight="1">
      <c r="A341" s="146"/>
      <c r="B341" s="146"/>
      <c r="C341" s="146"/>
      <c r="D341" s="146"/>
      <c r="E341" s="146"/>
      <c r="F341" s="146"/>
      <c r="G341" s="146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ht="18.75" customHeight="1">
      <c r="A342" s="146"/>
      <c r="B342" s="146"/>
      <c r="C342" s="146"/>
      <c r="D342" s="146"/>
      <c r="E342" s="146"/>
      <c r="F342" s="146"/>
      <c r="G342" s="146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ht="18.75" customHeight="1">
      <c r="A343" s="146"/>
      <c r="B343" s="146"/>
      <c r="C343" s="146"/>
      <c r="D343" s="146"/>
      <c r="E343" s="146"/>
      <c r="F343" s="146"/>
      <c r="G343" s="146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ht="18.75" customHeight="1">
      <c r="A344" s="146"/>
      <c r="B344" s="146"/>
      <c r="C344" s="146"/>
      <c r="D344" s="146"/>
      <c r="E344" s="146"/>
      <c r="F344" s="146"/>
      <c r="G344" s="146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ht="18.75" customHeight="1">
      <c r="A345" s="146"/>
      <c r="B345" s="146"/>
      <c r="C345" s="146"/>
      <c r="D345" s="146"/>
      <c r="E345" s="146"/>
      <c r="F345" s="146"/>
      <c r="G345" s="146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ht="18.75" customHeight="1">
      <c r="A346" s="146"/>
      <c r="B346" s="146"/>
      <c r="C346" s="146"/>
      <c r="D346" s="146"/>
      <c r="E346" s="146"/>
      <c r="F346" s="146"/>
      <c r="G346" s="146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ht="18.75" customHeight="1">
      <c r="A347" s="146"/>
      <c r="B347" s="146"/>
      <c r="C347" s="146"/>
      <c r="D347" s="146"/>
      <c r="E347" s="146"/>
      <c r="F347" s="146"/>
      <c r="G347" s="146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ht="18.75" customHeight="1">
      <c r="A348" s="146"/>
      <c r="B348" s="146"/>
      <c r="C348" s="146"/>
      <c r="D348" s="146"/>
      <c r="E348" s="146"/>
      <c r="F348" s="146"/>
      <c r="G348" s="146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ht="18.75" customHeight="1">
      <c r="A349" s="146"/>
      <c r="B349" s="146"/>
      <c r="C349" s="146"/>
      <c r="D349" s="146"/>
      <c r="E349" s="146"/>
      <c r="F349" s="146"/>
      <c r="G349" s="146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ht="18.75" customHeight="1">
      <c r="A350" s="146"/>
      <c r="B350" s="146"/>
      <c r="C350" s="146"/>
      <c r="D350" s="146"/>
      <c r="E350" s="146"/>
      <c r="F350" s="146"/>
      <c r="G350" s="146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ht="18.75" customHeight="1">
      <c r="A351" s="146"/>
      <c r="B351" s="146"/>
      <c r="C351" s="146"/>
      <c r="D351" s="146"/>
      <c r="E351" s="146"/>
      <c r="F351" s="146"/>
      <c r="G351" s="146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ht="18.75" customHeight="1">
      <c r="A352" s="146"/>
      <c r="B352" s="146"/>
      <c r="C352" s="146"/>
      <c r="D352" s="146"/>
      <c r="E352" s="146"/>
      <c r="F352" s="146"/>
      <c r="G352" s="146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ht="18.75" customHeight="1">
      <c r="A353" s="146"/>
      <c r="B353" s="146"/>
      <c r="C353" s="146"/>
      <c r="D353" s="146"/>
      <c r="E353" s="146"/>
      <c r="F353" s="146"/>
      <c r="G353" s="146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ht="18.75" customHeight="1">
      <c r="A354" s="146"/>
      <c r="B354" s="146"/>
      <c r="C354" s="146"/>
      <c r="D354" s="146"/>
      <c r="E354" s="146"/>
      <c r="F354" s="146"/>
      <c r="G354" s="146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ht="18.75" customHeight="1">
      <c r="A355" s="146"/>
      <c r="B355" s="146"/>
      <c r="C355" s="146"/>
      <c r="D355" s="146"/>
      <c r="E355" s="146"/>
      <c r="F355" s="146"/>
      <c r="G355" s="146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ht="18.75" customHeight="1">
      <c r="A356" s="146"/>
      <c r="B356" s="146"/>
      <c r="C356" s="146"/>
      <c r="D356" s="146"/>
      <c r="E356" s="146"/>
      <c r="F356" s="146"/>
      <c r="G356" s="146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ht="18.75" customHeight="1">
      <c r="A357" s="146"/>
      <c r="B357" s="146"/>
      <c r="C357" s="146"/>
      <c r="D357" s="146"/>
      <c r="E357" s="146"/>
      <c r="F357" s="146"/>
      <c r="G357" s="146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ht="18.75" customHeight="1">
      <c r="A358" s="146"/>
      <c r="B358" s="146"/>
      <c r="C358" s="146"/>
      <c r="D358" s="146"/>
      <c r="E358" s="146"/>
      <c r="F358" s="146"/>
      <c r="G358" s="146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ht="18.75" customHeight="1">
      <c r="A359" s="146"/>
      <c r="B359" s="146"/>
      <c r="C359" s="146"/>
      <c r="D359" s="146"/>
      <c r="E359" s="146"/>
      <c r="F359" s="146"/>
      <c r="G359" s="146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ht="18.75" customHeight="1">
      <c r="A360" s="146"/>
      <c r="B360" s="146"/>
      <c r="C360" s="146"/>
      <c r="D360" s="146"/>
      <c r="E360" s="146"/>
      <c r="F360" s="146"/>
      <c r="G360" s="146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ht="18.75" customHeight="1">
      <c r="A361" s="146"/>
      <c r="B361" s="146"/>
      <c r="C361" s="146"/>
      <c r="D361" s="146"/>
      <c r="E361" s="146"/>
      <c r="F361" s="146"/>
      <c r="G361" s="146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ht="18.75" customHeight="1">
      <c r="A362" s="146"/>
      <c r="B362" s="146"/>
      <c r="C362" s="146"/>
      <c r="D362" s="146"/>
      <c r="E362" s="146"/>
      <c r="F362" s="146"/>
      <c r="G362" s="146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ht="18.75" customHeight="1">
      <c r="A363" s="146"/>
      <c r="B363" s="146"/>
      <c r="C363" s="146"/>
      <c r="D363" s="146"/>
      <c r="E363" s="146"/>
      <c r="F363" s="146"/>
      <c r="G363" s="146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ht="18.75" customHeight="1">
      <c r="A364" s="146"/>
      <c r="B364" s="146"/>
      <c r="C364" s="146"/>
      <c r="D364" s="146"/>
      <c r="E364" s="146"/>
      <c r="F364" s="146"/>
      <c r="G364" s="146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ht="18.75" customHeight="1">
      <c r="A365" s="146"/>
      <c r="B365" s="146"/>
      <c r="C365" s="146"/>
      <c r="D365" s="146"/>
      <c r="E365" s="146"/>
      <c r="F365" s="146"/>
      <c r="G365" s="146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ht="18.75" customHeight="1">
      <c r="A366" s="146"/>
      <c r="B366" s="146"/>
      <c r="C366" s="146"/>
      <c r="D366" s="146"/>
      <c r="E366" s="146"/>
      <c r="F366" s="146"/>
      <c r="G366" s="146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ht="18.75" customHeight="1">
      <c r="A367" s="146"/>
      <c r="B367" s="146"/>
      <c r="C367" s="146"/>
      <c r="D367" s="146"/>
      <c r="E367" s="146"/>
      <c r="F367" s="146"/>
      <c r="G367" s="146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ht="18.75" customHeight="1">
      <c r="A368" s="146"/>
      <c r="B368" s="146"/>
      <c r="C368" s="146"/>
      <c r="D368" s="146"/>
      <c r="E368" s="146"/>
      <c r="F368" s="146"/>
      <c r="G368" s="146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ht="18.75" customHeight="1">
      <c r="A369" s="146"/>
      <c r="B369" s="146"/>
      <c r="C369" s="146"/>
      <c r="D369" s="146"/>
      <c r="E369" s="146"/>
      <c r="F369" s="146"/>
      <c r="G369" s="146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ht="18.75" customHeight="1">
      <c r="A370" s="146"/>
      <c r="B370" s="146"/>
      <c r="C370" s="146"/>
      <c r="D370" s="146"/>
      <c r="E370" s="146"/>
      <c r="F370" s="146"/>
      <c r="G370" s="146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ht="18.75" customHeight="1">
      <c r="A371" s="146"/>
      <c r="B371" s="146"/>
      <c r="C371" s="146"/>
      <c r="D371" s="146"/>
      <c r="E371" s="146"/>
      <c r="F371" s="146"/>
      <c r="G371" s="146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ht="18.75" customHeight="1">
      <c r="A372" s="146"/>
      <c r="B372" s="146"/>
      <c r="C372" s="146"/>
      <c r="D372" s="146"/>
      <c r="E372" s="146"/>
      <c r="F372" s="146"/>
      <c r="G372" s="146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ht="18.75" customHeight="1">
      <c r="A373" s="146"/>
      <c r="B373" s="146"/>
      <c r="C373" s="146"/>
      <c r="D373" s="146"/>
      <c r="E373" s="146"/>
      <c r="F373" s="146"/>
      <c r="G373" s="146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ht="18.75" customHeight="1">
      <c r="A374" s="146"/>
      <c r="B374" s="146"/>
      <c r="C374" s="146"/>
      <c r="D374" s="146"/>
      <c r="E374" s="146"/>
      <c r="F374" s="146"/>
      <c r="G374" s="146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ht="18.75" customHeight="1">
      <c r="A375" s="146"/>
      <c r="B375" s="146"/>
      <c r="C375" s="146"/>
      <c r="D375" s="146"/>
      <c r="E375" s="146"/>
      <c r="F375" s="146"/>
      <c r="G375" s="146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ht="18.75" customHeight="1">
      <c r="A376" s="146"/>
      <c r="B376" s="146"/>
      <c r="C376" s="146"/>
      <c r="D376" s="146"/>
      <c r="E376" s="146"/>
      <c r="F376" s="146"/>
      <c r="G376" s="146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ht="18.75" customHeight="1">
      <c r="A377" s="146"/>
      <c r="B377" s="146"/>
      <c r="C377" s="146"/>
      <c r="D377" s="146"/>
      <c r="E377" s="146"/>
      <c r="F377" s="146"/>
      <c r="G377" s="146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ht="18.75" customHeight="1">
      <c r="A378" s="146"/>
      <c r="B378" s="146"/>
      <c r="C378" s="146"/>
      <c r="D378" s="146"/>
      <c r="E378" s="146"/>
      <c r="F378" s="146"/>
      <c r="G378" s="146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ht="18.75" customHeight="1">
      <c r="A379" s="146"/>
      <c r="B379" s="146"/>
      <c r="C379" s="146"/>
      <c r="D379" s="146"/>
      <c r="E379" s="146"/>
      <c r="F379" s="146"/>
      <c r="G379" s="146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ht="18.75" customHeight="1">
      <c r="A380" s="146"/>
      <c r="B380" s="146"/>
      <c r="C380" s="146"/>
      <c r="D380" s="146"/>
      <c r="E380" s="146"/>
      <c r="F380" s="146"/>
      <c r="G380" s="146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ht="18.75" customHeight="1">
      <c r="A381" s="146"/>
      <c r="B381" s="146"/>
      <c r="C381" s="146"/>
      <c r="D381" s="146"/>
      <c r="E381" s="146"/>
      <c r="F381" s="146"/>
      <c r="G381" s="146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ht="18.75" customHeight="1">
      <c r="A382" s="146"/>
      <c r="B382" s="146"/>
      <c r="C382" s="146"/>
      <c r="D382" s="146"/>
      <c r="E382" s="146"/>
      <c r="F382" s="146"/>
      <c r="G382" s="146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ht="18.75" customHeight="1">
      <c r="A383" s="146"/>
      <c r="B383" s="146"/>
      <c r="C383" s="146"/>
      <c r="D383" s="146"/>
      <c r="E383" s="146"/>
      <c r="F383" s="146"/>
      <c r="G383" s="146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ht="18.75" customHeight="1">
      <c r="A384" s="146"/>
      <c r="B384" s="146"/>
      <c r="C384" s="146"/>
      <c r="D384" s="146"/>
      <c r="E384" s="146"/>
      <c r="F384" s="146"/>
      <c r="G384" s="146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ht="18.75" customHeight="1">
      <c r="A385" s="146"/>
      <c r="B385" s="146"/>
      <c r="C385" s="146"/>
      <c r="D385" s="146"/>
      <c r="E385" s="146"/>
      <c r="F385" s="146"/>
      <c r="G385" s="146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ht="18.75" customHeight="1">
      <c r="A386" s="146"/>
      <c r="B386" s="146"/>
      <c r="C386" s="146"/>
      <c r="D386" s="146"/>
      <c r="E386" s="146"/>
      <c r="F386" s="146"/>
      <c r="G386" s="146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ht="18.75" customHeight="1">
      <c r="A387" s="146"/>
      <c r="B387" s="146"/>
      <c r="C387" s="146"/>
      <c r="D387" s="146"/>
      <c r="E387" s="146"/>
      <c r="F387" s="146"/>
      <c r="G387" s="146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ht="18.75" customHeight="1">
      <c r="A388" s="146"/>
      <c r="B388" s="146"/>
      <c r="C388" s="146"/>
      <c r="D388" s="146"/>
      <c r="E388" s="146"/>
      <c r="F388" s="146"/>
      <c r="G388" s="146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ht="18.75" customHeight="1">
      <c r="A389" s="146"/>
      <c r="B389" s="146"/>
      <c r="C389" s="146"/>
      <c r="D389" s="146"/>
      <c r="E389" s="146"/>
      <c r="F389" s="146"/>
      <c r="G389" s="146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ht="18.75" customHeight="1">
      <c r="A390" s="146"/>
      <c r="B390" s="146"/>
      <c r="C390" s="146"/>
      <c r="D390" s="146"/>
      <c r="E390" s="146"/>
      <c r="F390" s="146"/>
      <c r="G390" s="146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ht="18.75" customHeight="1">
      <c r="A391" s="146"/>
      <c r="B391" s="146"/>
      <c r="C391" s="146"/>
      <c r="D391" s="146"/>
      <c r="E391" s="146"/>
      <c r="F391" s="146"/>
      <c r="G391" s="146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ht="18.75" customHeight="1">
      <c r="A392" s="146"/>
      <c r="B392" s="146"/>
      <c r="C392" s="146"/>
      <c r="D392" s="146"/>
      <c r="E392" s="146"/>
      <c r="F392" s="146"/>
      <c r="G392" s="146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ht="18.75" customHeight="1">
      <c r="A393" s="146"/>
      <c r="B393" s="146"/>
      <c r="C393" s="146"/>
      <c r="D393" s="146"/>
      <c r="E393" s="146"/>
      <c r="F393" s="146"/>
      <c r="G393" s="146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ht="18.75" customHeight="1">
      <c r="A394" s="146"/>
      <c r="B394" s="146"/>
      <c r="C394" s="146"/>
      <c r="D394" s="146"/>
      <c r="E394" s="146"/>
      <c r="F394" s="146"/>
      <c r="G394" s="146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ht="18.75" customHeight="1">
      <c r="A395" s="146"/>
      <c r="B395" s="146"/>
      <c r="C395" s="146"/>
      <c r="D395" s="146"/>
      <c r="E395" s="146"/>
      <c r="F395" s="146"/>
      <c r="G395" s="146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ht="18.75" customHeight="1">
      <c r="A396" s="146"/>
      <c r="B396" s="146"/>
      <c r="C396" s="146"/>
      <c r="D396" s="146"/>
      <c r="E396" s="146"/>
      <c r="F396" s="146"/>
      <c r="G396" s="146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ht="18.75" customHeight="1">
      <c r="A397" s="146"/>
      <c r="B397" s="146"/>
      <c r="C397" s="146"/>
      <c r="D397" s="146"/>
      <c r="E397" s="146"/>
      <c r="F397" s="146"/>
      <c r="G397" s="146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ht="18.75" customHeight="1">
      <c r="A398" s="146"/>
      <c r="B398" s="146"/>
      <c r="C398" s="146"/>
      <c r="D398" s="146"/>
      <c r="E398" s="146"/>
      <c r="F398" s="146"/>
      <c r="G398" s="146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ht="18.75" customHeight="1">
      <c r="A399" s="146"/>
      <c r="B399" s="146"/>
      <c r="C399" s="146"/>
      <c r="D399" s="146"/>
      <c r="E399" s="146"/>
      <c r="F399" s="146"/>
      <c r="G399" s="146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ht="18.75" customHeight="1">
      <c r="A400" s="146"/>
      <c r="B400" s="146"/>
      <c r="C400" s="146"/>
      <c r="D400" s="146"/>
      <c r="E400" s="146"/>
      <c r="F400" s="146"/>
      <c r="G400" s="146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ht="18.75" customHeight="1">
      <c r="A401" s="146"/>
      <c r="B401" s="146"/>
      <c r="C401" s="146"/>
      <c r="D401" s="146"/>
      <c r="E401" s="146"/>
      <c r="F401" s="146"/>
      <c r="G401" s="146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ht="18.75" customHeight="1">
      <c r="A402" s="146"/>
      <c r="B402" s="146"/>
      <c r="C402" s="146"/>
      <c r="D402" s="146"/>
      <c r="E402" s="146"/>
      <c r="F402" s="146"/>
      <c r="G402" s="146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ht="18.75" customHeight="1">
      <c r="A403" s="146"/>
      <c r="B403" s="146"/>
      <c r="C403" s="146"/>
      <c r="D403" s="146"/>
      <c r="E403" s="146"/>
      <c r="F403" s="146"/>
      <c r="G403" s="146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ht="18.75" customHeight="1">
      <c r="A404" s="146"/>
      <c r="B404" s="146"/>
      <c r="C404" s="146"/>
      <c r="D404" s="146"/>
      <c r="E404" s="146"/>
      <c r="F404" s="146"/>
      <c r="G404" s="146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ht="18.75" customHeight="1">
      <c r="A405" s="146"/>
      <c r="B405" s="146"/>
      <c r="C405" s="146"/>
      <c r="D405" s="146"/>
      <c r="E405" s="146"/>
      <c r="F405" s="146"/>
      <c r="G405" s="146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ht="18.75" customHeight="1">
      <c r="A406" s="146"/>
      <c r="B406" s="146"/>
      <c r="C406" s="146"/>
      <c r="D406" s="146"/>
      <c r="E406" s="146"/>
      <c r="F406" s="146"/>
      <c r="G406" s="146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ht="18.75" customHeight="1">
      <c r="A407" s="146"/>
      <c r="B407" s="146"/>
      <c r="C407" s="146"/>
      <c r="D407" s="146"/>
      <c r="E407" s="146"/>
      <c r="F407" s="146"/>
      <c r="G407" s="146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ht="18.75" customHeight="1">
      <c r="A408" s="146"/>
      <c r="B408" s="146"/>
      <c r="C408" s="146"/>
      <c r="D408" s="146"/>
      <c r="E408" s="146"/>
      <c r="F408" s="146"/>
      <c r="G408" s="146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ht="18.75" customHeight="1">
      <c r="A409" s="146"/>
      <c r="B409" s="146"/>
      <c r="C409" s="146"/>
      <c r="D409" s="146"/>
      <c r="E409" s="146"/>
      <c r="F409" s="146"/>
      <c r="G409" s="146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ht="18.75" customHeight="1">
      <c r="A410" s="146"/>
      <c r="B410" s="146"/>
      <c r="C410" s="146"/>
      <c r="D410" s="146"/>
      <c r="E410" s="146"/>
      <c r="F410" s="146"/>
      <c r="G410" s="146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ht="18.75" customHeight="1">
      <c r="A411" s="146"/>
      <c r="B411" s="146"/>
      <c r="C411" s="146"/>
      <c r="D411" s="146"/>
      <c r="E411" s="146"/>
      <c r="F411" s="146"/>
      <c r="G411" s="146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ht="18.75" customHeight="1">
      <c r="A412" s="146"/>
      <c r="B412" s="146"/>
      <c r="C412" s="146"/>
      <c r="D412" s="146"/>
      <c r="E412" s="146"/>
      <c r="F412" s="146"/>
      <c r="G412" s="146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ht="18.75" customHeight="1">
      <c r="A413" s="146"/>
      <c r="B413" s="146"/>
      <c r="C413" s="146"/>
      <c r="D413" s="146"/>
      <c r="E413" s="146"/>
      <c r="F413" s="146"/>
      <c r="G413" s="146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ht="18.75" customHeight="1">
      <c r="A414" s="146"/>
      <c r="B414" s="146"/>
      <c r="C414" s="146"/>
      <c r="D414" s="146"/>
      <c r="E414" s="146"/>
      <c r="F414" s="146"/>
      <c r="G414" s="146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ht="18.75" customHeight="1">
      <c r="A415" s="146"/>
      <c r="B415" s="146"/>
      <c r="C415" s="146"/>
      <c r="D415" s="146"/>
      <c r="E415" s="146"/>
      <c r="F415" s="146"/>
      <c r="G415" s="146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ht="18.75" customHeight="1">
      <c r="A416" s="146"/>
      <c r="B416" s="146"/>
      <c r="C416" s="146"/>
      <c r="D416" s="146"/>
      <c r="E416" s="146"/>
      <c r="F416" s="146"/>
      <c r="G416" s="146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ht="18.75" customHeight="1">
      <c r="A417" s="146"/>
      <c r="B417" s="146"/>
      <c r="C417" s="146"/>
      <c r="D417" s="146"/>
      <c r="E417" s="146"/>
      <c r="F417" s="146"/>
      <c r="G417" s="146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ht="18.75" customHeight="1">
      <c r="A418" s="146"/>
      <c r="B418" s="146"/>
      <c r="C418" s="146"/>
      <c r="D418" s="146"/>
      <c r="E418" s="146"/>
      <c r="F418" s="146"/>
      <c r="G418" s="146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ht="18.75" customHeight="1">
      <c r="A419" s="146"/>
      <c r="B419" s="146"/>
      <c r="C419" s="146"/>
      <c r="D419" s="146"/>
      <c r="E419" s="146"/>
      <c r="F419" s="146"/>
      <c r="G419" s="146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ht="18.75" customHeight="1">
      <c r="A420" s="146"/>
      <c r="B420" s="146"/>
      <c r="C420" s="146"/>
      <c r="D420" s="146"/>
      <c r="E420" s="146"/>
      <c r="F420" s="146"/>
      <c r="G420" s="146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ht="18.75" customHeight="1">
      <c r="A421" s="146"/>
      <c r="B421" s="146"/>
      <c r="C421" s="146"/>
      <c r="D421" s="146"/>
      <c r="E421" s="146"/>
      <c r="F421" s="146"/>
      <c r="G421" s="146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ht="18.75" customHeight="1">
      <c r="A422" s="146"/>
      <c r="B422" s="146"/>
      <c r="C422" s="146"/>
      <c r="D422" s="146"/>
      <c r="E422" s="146"/>
      <c r="F422" s="146"/>
      <c r="G422" s="146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ht="18.75" customHeight="1">
      <c r="A423" s="146"/>
      <c r="B423" s="146"/>
      <c r="C423" s="146"/>
      <c r="D423" s="146"/>
      <c r="E423" s="146"/>
      <c r="F423" s="146"/>
      <c r="G423" s="146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ht="18.75" customHeight="1">
      <c r="A424" s="146"/>
      <c r="B424" s="146"/>
      <c r="C424" s="146"/>
      <c r="D424" s="146"/>
      <c r="E424" s="146"/>
      <c r="F424" s="146"/>
      <c r="G424" s="146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ht="18.75" customHeight="1">
      <c r="A425" s="146"/>
      <c r="B425" s="146"/>
      <c r="C425" s="146"/>
      <c r="D425" s="146"/>
      <c r="E425" s="146"/>
      <c r="F425" s="146"/>
      <c r="G425" s="146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ht="18.75" customHeight="1">
      <c r="A426" s="146"/>
      <c r="B426" s="146"/>
      <c r="C426" s="146"/>
      <c r="D426" s="146"/>
      <c r="E426" s="146"/>
      <c r="F426" s="146"/>
      <c r="G426" s="146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ht="18.75" customHeight="1">
      <c r="A427" s="146"/>
      <c r="B427" s="146"/>
      <c r="C427" s="146"/>
      <c r="D427" s="146"/>
      <c r="E427" s="146"/>
      <c r="F427" s="146"/>
      <c r="G427" s="146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ht="18.75" customHeight="1">
      <c r="A428" s="146"/>
      <c r="B428" s="146"/>
      <c r="C428" s="146"/>
      <c r="D428" s="146"/>
      <c r="E428" s="146"/>
      <c r="F428" s="146"/>
      <c r="G428" s="146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ht="18.75" customHeight="1">
      <c r="A429" s="146"/>
      <c r="B429" s="146"/>
      <c r="C429" s="146"/>
      <c r="D429" s="146"/>
      <c r="E429" s="146"/>
      <c r="F429" s="146"/>
      <c r="G429" s="146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ht="18.75" customHeight="1">
      <c r="A430" s="146"/>
      <c r="B430" s="146"/>
      <c r="C430" s="146"/>
      <c r="D430" s="146"/>
      <c r="E430" s="146"/>
      <c r="F430" s="146"/>
      <c r="G430" s="146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ht="18.75" customHeight="1">
      <c r="A431" s="146"/>
      <c r="B431" s="146"/>
      <c r="C431" s="146"/>
      <c r="D431" s="146"/>
      <c r="E431" s="146"/>
      <c r="F431" s="146"/>
      <c r="G431" s="146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ht="18.75" customHeight="1">
      <c r="A432" s="146"/>
      <c r="B432" s="146"/>
      <c r="C432" s="146"/>
      <c r="D432" s="146"/>
      <c r="E432" s="146"/>
      <c r="F432" s="146"/>
      <c r="G432" s="146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ht="18.75" customHeight="1">
      <c r="A433" s="146"/>
      <c r="B433" s="146"/>
      <c r="C433" s="146"/>
      <c r="D433" s="146"/>
      <c r="E433" s="146"/>
      <c r="F433" s="146"/>
      <c r="G433" s="146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ht="18.75" customHeight="1">
      <c r="A434" s="146"/>
      <c r="B434" s="146"/>
      <c r="C434" s="146"/>
      <c r="D434" s="146"/>
      <c r="E434" s="146"/>
      <c r="F434" s="146"/>
      <c r="G434" s="146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ht="18.75" customHeight="1">
      <c r="A435" s="146"/>
      <c r="B435" s="146"/>
      <c r="C435" s="146"/>
      <c r="D435" s="146"/>
      <c r="E435" s="146"/>
      <c r="F435" s="146"/>
      <c r="G435" s="146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ht="18.75" customHeight="1">
      <c r="A436" s="146"/>
      <c r="B436" s="146"/>
      <c r="C436" s="146"/>
      <c r="D436" s="146"/>
      <c r="E436" s="146"/>
      <c r="F436" s="146"/>
      <c r="G436" s="146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ht="18.75" customHeight="1">
      <c r="A437" s="146"/>
      <c r="B437" s="146"/>
      <c r="C437" s="146"/>
      <c r="D437" s="146"/>
      <c r="E437" s="146"/>
      <c r="F437" s="146"/>
      <c r="G437" s="146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ht="18.75" customHeight="1">
      <c r="A438" s="146"/>
      <c r="B438" s="146"/>
      <c r="C438" s="146"/>
      <c r="D438" s="146"/>
      <c r="E438" s="146"/>
      <c r="F438" s="146"/>
      <c r="G438" s="146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ht="18.75" customHeight="1">
      <c r="A439" s="146"/>
      <c r="B439" s="146"/>
      <c r="C439" s="146"/>
      <c r="D439" s="146"/>
      <c r="E439" s="146"/>
      <c r="F439" s="146"/>
      <c r="G439" s="146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ht="18.75" customHeight="1">
      <c r="A440" s="146"/>
      <c r="B440" s="146"/>
      <c r="C440" s="146"/>
      <c r="D440" s="146"/>
      <c r="E440" s="146"/>
      <c r="F440" s="146"/>
      <c r="G440" s="146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ht="18.75" customHeight="1">
      <c r="A441" s="146"/>
      <c r="B441" s="146"/>
      <c r="C441" s="146"/>
      <c r="D441" s="146"/>
      <c r="E441" s="146"/>
      <c r="F441" s="146"/>
      <c r="G441" s="146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ht="18.75" customHeight="1">
      <c r="A442" s="146"/>
      <c r="B442" s="146"/>
      <c r="C442" s="146"/>
      <c r="D442" s="146"/>
      <c r="E442" s="146"/>
      <c r="F442" s="146"/>
      <c r="G442" s="146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ht="18.75" customHeight="1">
      <c r="A443" s="146"/>
      <c r="B443" s="146"/>
      <c r="C443" s="146"/>
      <c r="D443" s="146"/>
      <c r="E443" s="146"/>
      <c r="F443" s="146"/>
      <c r="G443" s="146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ht="18.75" customHeight="1">
      <c r="A444" s="146"/>
      <c r="B444" s="146"/>
      <c r="C444" s="146"/>
      <c r="D444" s="146"/>
      <c r="E444" s="146"/>
      <c r="F444" s="146"/>
      <c r="G444" s="146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ht="18.75" customHeight="1">
      <c r="A445" s="146"/>
      <c r="B445" s="146"/>
      <c r="C445" s="146"/>
      <c r="D445" s="146"/>
      <c r="E445" s="146"/>
      <c r="F445" s="146"/>
      <c r="G445" s="146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ht="18.75" customHeight="1">
      <c r="A446" s="146"/>
      <c r="B446" s="146"/>
      <c r="C446" s="146"/>
      <c r="D446" s="146"/>
      <c r="E446" s="146"/>
      <c r="F446" s="146"/>
      <c r="G446" s="146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ht="18.75" customHeight="1">
      <c r="A447" s="146"/>
      <c r="B447" s="146"/>
      <c r="C447" s="146"/>
      <c r="D447" s="146"/>
      <c r="E447" s="146"/>
      <c r="F447" s="146"/>
      <c r="G447" s="146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ht="18.75" customHeight="1">
      <c r="A448" s="146"/>
      <c r="B448" s="146"/>
      <c r="C448" s="146"/>
      <c r="D448" s="146"/>
      <c r="E448" s="146"/>
      <c r="F448" s="146"/>
      <c r="G448" s="146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ht="18.75" customHeight="1">
      <c r="A449" s="146"/>
      <c r="B449" s="146"/>
      <c r="C449" s="146"/>
      <c r="D449" s="146"/>
      <c r="E449" s="146"/>
      <c r="F449" s="146"/>
      <c r="G449" s="146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ht="18.75" customHeight="1">
      <c r="A450" s="146"/>
      <c r="B450" s="146"/>
      <c r="C450" s="146"/>
      <c r="D450" s="146"/>
      <c r="E450" s="146"/>
      <c r="F450" s="146"/>
      <c r="G450" s="146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ht="18.75" customHeight="1">
      <c r="A451" s="146"/>
      <c r="B451" s="146"/>
      <c r="C451" s="146"/>
      <c r="D451" s="146"/>
      <c r="E451" s="146"/>
      <c r="F451" s="146"/>
      <c r="G451" s="146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ht="18.75" customHeight="1">
      <c r="A452" s="146"/>
      <c r="B452" s="146"/>
      <c r="C452" s="146"/>
      <c r="D452" s="146"/>
      <c r="E452" s="146"/>
      <c r="F452" s="146"/>
      <c r="G452" s="146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ht="18.75" customHeight="1">
      <c r="A453" s="146"/>
      <c r="B453" s="146"/>
      <c r="C453" s="146"/>
      <c r="D453" s="146"/>
      <c r="E453" s="146"/>
      <c r="F453" s="146"/>
      <c r="G453" s="146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ht="18.75" customHeight="1">
      <c r="A454" s="146"/>
      <c r="B454" s="146"/>
      <c r="C454" s="146"/>
      <c r="D454" s="146"/>
      <c r="E454" s="146"/>
      <c r="F454" s="146"/>
      <c r="G454" s="146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ht="18.75" customHeight="1">
      <c r="A455" s="146"/>
      <c r="B455" s="146"/>
      <c r="C455" s="146"/>
      <c r="D455" s="146"/>
      <c r="E455" s="146"/>
      <c r="F455" s="146"/>
      <c r="G455" s="146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ht="18.75" customHeight="1">
      <c r="A456" s="146"/>
      <c r="B456" s="146"/>
      <c r="C456" s="146"/>
      <c r="D456" s="146"/>
      <c r="E456" s="146"/>
      <c r="F456" s="146"/>
      <c r="G456" s="146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ht="18.75" customHeight="1">
      <c r="A457" s="146"/>
      <c r="B457" s="146"/>
      <c r="C457" s="146"/>
      <c r="D457" s="146"/>
      <c r="E457" s="146"/>
      <c r="F457" s="146"/>
      <c r="G457" s="146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ht="18.75" customHeight="1">
      <c r="A458" s="146"/>
      <c r="B458" s="146"/>
      <c r="C458" s="146"/>
      <c r="D458" s="146"/>
      <c r="E458" s="146"/>
      <c r="F458" s="146"/>
      <c r="G458" s="146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ht="18.75" customHeight="1">
      <c r="A459" s="146"/>
      <c r="B459" s="146"/>
      <c r="C459" s="146"/>
      <c r="D459" s="146"/>
      <c r="E459" s="146"/>
      <c r="F459" s="146"/>
      <c r="G459" s="146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ht="18.75" customHeight="1">
      <c r="A460" s="146"/>
      <c r="B460" s="146"/>
      <c r="C460" s="146"/>
      <c r="D460" s="146"/>
      <c r="E460" s="146"/>
      <c r="F460" s="146"/>
      <c r="G460" s="146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ht="18.75" customHeight="1">
      <c r="A461" s="146"/>
      <c r="B461" s="146"/>
      <c r="C461" s="146"/>
      <c r="D461" s="146"/>
      <c r="E461" s="146"/>
      <c r="F461" s="146"/>
      <c r="G461" s="146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ht="18.75" customHeight="1">
      <c r="A462" s="146"/>
      <c r="B462" s="146"/>
      <c r="C462" s="146"/>
      <c r="D462" s="146"/>
      <c r="E462" s="146"/>
      <c r="F462" s="146"/>
      <c r="G462" s="146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ht="18.75" customHeight="1">
      <c r="A463" s="146"/>
      <c r="B463" s="146"/>
      <c r="C463" s="146"/>
      <c r="D463" s="146"/>
      <c r="E463" s="146"/>
      <c r="F463" s="146"/>
      <c r="G463" s="146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ht="18.75" customHeight="1">
      <c r="A464" s="146"/>
      <c r="B464" s="146"/>
      <c r="C464" s="146"/>
      <c r="D464" s="146"/>
      <c r="E464" s="146"/>
      <c r="F464" s="146"/>
      <c r="G464" s="146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ht="18.75" customHeight="1">
      <c r="A465" s="146"/>
      <c r="B465" s="146"/>
      <c r="C465" s="146"/>
      <c r="D465" s="146"/>
      <c r="E465" s="146"/>
      <c r="F465" s="146"/>
      <c r="G465" s="146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ht="18.75" customHeight="1">
      <c r="A466" s="146"/>
      <c r="B466" s="146"/>
      <c r="C466" s="146"/>
      <c r="D466" s="146"/>
      <c r="E466" s="146"/>
      <c r="F466" s="146"/>
      <c r="G466" s="146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ht="18.75" customHeight="1">
      <c r="A467" s="146"/>
      <c r="B467" s="146"/>
      <c r="C467" s="146"/>
      <c r="D467" s="146"/>
      <c r="E467" s="146"/>
      <c r="F467" s="146"/>
      <c r="G467" s="146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ht="18.75" customHeight="1">
      <c r="A468" s="146"/>
      <c r="B468" s="146"/>
      <c r="C468" s="146"/>
      <c r="D468" s="146"/>
      <c r="E468" s="146"/>
      <c r="F468" s="146"/>
      <c r="G468" s="146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ht="18.75" customHeight="1">
      <c r="A469" s="146"/>
      <c r="B469" s="146"/>
      <c r="C469" s="146"/>
      <c r="D469" s="146"/>
      <c r="E469" s="146"/>
      <c r="F469" s="146"/>
      <c r="G469" s="146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ht="18.75" customHeight="1">
      <c r="A470" s="146"/>
      <c r="B470" s="146"/>
      <c r="C470" s="146"/>
      <c r="D470" s="146"/>
      <c r="E470" s="146"/>
      <c r="F470" s="146"/>
      <c r="G470" s="146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ht="18.75" customHeight="1">
      <c r="A471" s="146"/>
      <c r="B471" s="146"/>
      <c r="C471" s="146"/>
      <c r="D471" s="146"/>
      <c r="E471" s="146"/>
      <c r="F471" s="146"/>
      <c r="G471" s="146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ht="18.75" customHeight="1">
      <c r="A472" s="146"/>
      <c r="B472" s="146"/>
      <c r="C472" s="146"/>
      <c r="D472" s="146"/>
      <c r="E472" s="146"/>
      <c r="F472" s="146"/>
      <c r="G472" s="146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ht="18.75" customHeight="1">
      <c r="A473" s="146"/>
      <c r="B473" s="146"/>
      <c r="C473" s="146"/>
      <c r="D473" s="146"/>
      <c r="E473" s="146"/>
      <c r="F473" s="146"/>
      <c r="G473" s="146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ht="18.75" customHeight="1">
      <c r="A474" s="146"/>
      <c r="B474" s="146"/>
      <c r="C474" s="146"/>
      <c r="D474" s="146"/>
      <c r="E474" s="146"/>
      <c r="F474" s="146"/>
      <c r="G474" s="146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ht="18.75" customHeight="1">
      <c r="A475" s="146"/>
      <c r="B475" s="146"/>
      <c r="C475" s="146"/>
      <c r="D475" s="146"/>
      <c r="E475" s="146"/>
      <c r="F475" s="146"/>
      <c r="G475" s="146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ht="18.75" customHeight="1">
      <c r="A476" s="146"/>
      <c r="B476" s="146"/>
      <c r="C476" s="146"/>
      <c r="D476" s="146"/>
      <c r="E476" s="146"/>
      <c r="F476" s="146"/>
      <c r="G476" s="146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ht="18.75" customHeight="1">
      <c r="A477" s="146"/>
      <c r="B477" s="146"/>
      <c r="C477" s="146"/>
      <c r="D477" s="146"/>
      <c r="E477" s="146"/>
      <c r="F477" s="146"/>
      <c r="G477" s="146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ht="18.75" customHeight="1">
      <c r="A478" s="146"/>
      <c r="B478" s="146"/>
      <c r="C478" s="146"/>
      <c r="D478" s="146"/>
      <c r="E478" s="146"/>
      <c r="F478" s="146"/>
      <c r="G478" s="146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ht="18.75" customHeight="1">
      <c r="A479" s="146"/>
      <c r="B479" s="146"/>
      <c r="C479" s="146"/>
      <c r="D479" s="146"/>
      <c r="E479" s="146"/>
      <c r="F479" s="146"/>
      <c r="G479" s="146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ht="18.75" customHeight="1">
      <c r="A480" s="146"/>
      <c r="B480" s="146"/>
      <c r="C480" s="146"/>
      <c r="D480" s="146"/>
      <c r="E480" s="146"/>
      <c r="F480" s="146"/>
      <c r="G480" s="146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ht="18.75" customHeight="1">
      <c r="A481" s="146"/>
      <c r="B481" s="146"/>
      <c r="C481" s="146"/>
      <c r="D481" s="146"/>
      <c r="E481" s="146"/>
      <c r="F481" s="146"/>
      <c r="G481" s="146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ht="18.75" customHeight="1">
      <c r="A482" s="146"/>
      <c r="B482" s="146"/>
      <c r="C482" s="146"/>
      <c r="D482" s="146"/>
      <c r="E482" s="146"/>
      <c r="F482" s="146"/>
      <c r="G482" s="146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ht="18.75" customHeight="1">
      <c r="A483" s="146"/>
      <c r="B483" s="146"/>
      <c r="C483" s="146"/>
      <c r="D483" s="146"/>
      <c r="E483" s="146"/>
      <c r="F483" s="146"/>
      <c r="G483" s="146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ht="18.75" customHeight="1">
      <c r="A484" s="146"/>
      <c r="B484" s="146"/>
      <c r="C484" s="146"/>
      <c r="D484" s="146"/>
      <c r="E484" s="146"/>
      <c r="F484" s="146"/>
      <c r="G484" s="146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ht="18.75" customHeight="1">
      <c r="A485" s="146"/>
      <c r="B485" s="146"/>
      <c r="C485" s="146"/>
      <c r="D485" s="146"/>
      <c r="E485" s="146"/>
      <c r="F485" s="146"/>
      <c r="G485" s="146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ht="18.75" customHeight="1">
      <c r="A486" s="146"/>
      <c r="B486" s="146"/>
      <c r="C486" s="146"/>
      <c r="D486" s="146"/>
      <c r="E486" s="146"/>
      <c r="F486" s="146"/>
      <c r="G486" s="146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ht="18.75" customHeight="1">
      <c r="A487" s="146"/>
      <c r="B487" s="146"/>
      <c r="C487" s="146"/>
      <c r="D487" s="146"/>
      <c r="E487" s="146"/>
      <c r="F487" s="146"/>
      <c r="G487" s="146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ht="18.75" customHeight="1">
      <c r="A488" s="146"/>
      <c r="B488" s="146"/>
      <c r="C488" s="146"/>
      <c r="D488" s="146"/>
      <c r="E488" s="146"/>
      <c r="F488" s="146"/>
      <c r="G488" s="146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ht="18.75" customHeight="1">
      <c r="A489" s="146"/>
      <c r="B489" s="146"/>
      <c r="C489" s="146"/>
      <c r="D489" s="146"/>
      <c r="E489" s="146"/>
      <c r="F489" s="146"/>
      <c r="G489" s="146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ht="18.75" customHeight="1">
      <c r="A490" s="146"/>
      <c r="B490" s="146"/>
      <c r="C490" s="146"/>
      <c r="D490" s="146"/>
      <c r="E490" s="146"/>
      <c r="F490" s="146"/>
      <c r="G490" s="146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ht="18.75" customHeight="1">
      <c r="A491" s="146"/>
      <c r="B491" s="146"/>
      <c r="C491" s="146"/>
      <c r="D491" s="146"/>
      <c r="E491" s="146"/>
      <c r="F491" s="146"/>
      <c r="G491" s="146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ht="18.75" customHeight="1">
      <c r="A492" s="146"/>
      <c r="B492" s="146"/>
      <c r="C492" s="146"/>
      <c r="D492" s="146"/>
      <c r="E492" s="146"/>
      <c r="F492" s="146"/>
      <c r="G492" s="146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ht="18.75" customHeight="1">
      <c r="A493" s="146"/>
      <c r="B493" s="146"/>
      <c r="C493" s="146"/>
      <c r="D493" s="146"/>
      <c r="E493" s="146"/>
      <c r="F493" s="146"/>
      <c r="G493" s="146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ht="18.75" customHeight="1">
      <c r="A494" s="146"/>
      <c r="B494" s="146"/>
      <c r="C494" s="146"/>
      <c r="D494" s="146"/>
      <c r="E494" s="146"/>
      <c r="F494" s="146"/>
      <c r="G494" s="146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ht="18.75" customHeight="1">
      <c r="A495" s="146"/>
      <c r="B495" s="146"/>
      <c r="C495" s="146"/>
      <c r="D495" s="146"/>
      <c r="E495" s="146"/>
      <c r="F495" s="146"/>
      <c r="G495" s="146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ht="18.75" customHeight="1">
      <c r="A496" s="146"/>
      <c r="B496" s="146"/>
      <c r="C496" s="146"/>
      <c r="D496" s="146"/>
      <c r="E496" s="146"/>
      <c r="F496" s="146"/>
      <c r="G496" s="146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ht="18.75" customHeight="1">
      <c r="A497" s="146"/>
      <c r="B497" s="146"/>
      <c r="C497" s="146"/>
      <c r="D497" s="146"/>
      <c r="E497" s="146"/>
      <c r="F497" s="146"/>
      <c r="G497" s="146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ht="18.75" customHeight="1">
      <c r="A498" s="146"/>
      <c r="B498" s="146"/>
      <c r="C498" s="146"/>
      <c r="D498" s="146"/>
      <c r="E498" s="146"/>
      <c r="F498" s="146"/>
      <c r="G498" s="146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ht="18.75" customHeight="1">
      <c r="A499" s="146"/>
      <c r="B499" s="146"/>
      <c r="C499" s="146"/>
      <c r="D499" s="146"/>
      <c r="E499" s="146"/>
      <c r="F499" s="146"/>
      <c r="G499" s="146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ht="18.75" customHeight="1">
      <c r="A500" s="146"/>
      <c r="B500" s="146"/>
      <c r="C500" s="146"/>
      <c r="D500" s="146"/>
      <c r="E500" s="146"/>
      <c r="F500" s="146"/>
      <c r="G500" s="146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ht="18.75" customHeight="1">
      <c r="A501" s="146"/>
      <c r="B501" s="146"/>
      <c r="C501" s="146"/>
      <c r="D501" s="146"/>
      <c r="E501" s="146"/>
      <c r="F501" s="146"/>
      <c r="G501" s="146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ht="18.75" customHeight="1">
      <c r="A502" s="146"/>
      <c r="B502" s="146"/>
      <c r="C502" s="146"/>
      <c r="D502" s="146"/>
      <c r="E502" s="146"/>
      <c r="F502" s="146"/>
      <c r="G502" s="146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ht="18.75" customHeight="1">
      <c r="A503" s="146"/>
      <c r="B503" s="146"/>
      <c r="C503" s="146"/>
      <c r="D503" s="146"/>
      <c r="E503" s="146"/>
      <c r="F503" s="146"/>
      <c r="G503" s="146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ht="18.75" customHeight="1">
      <c r="A504" s="146"/>
      <c r="B504" s="146"/>
      <c r="C504" s="146"/>
      <c r="D504" s="146"/>
      <c r="E504" s="146"/>
      <c r="F504" s="146"/>
      <c r="G504" s="146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ht="18.75" customHeight="1">
      <c r="A505" s="146"/>
      <c r="B505" s="146"/>
      <c r="C505" s="146"/>
      <c r="D505" s="146"/>
      <c r="E505" s="146"/>
      <c r="F505" s="146"/>
      <c r="G505" s="146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ht="18.75" customHeight="1">
      <c r="A506" s="146"/>
      <c r="B506" s="146"/>
      <c r="C506" s="146"/>
      <c r="D506" s="146"/>
      <c r="E506" s="146"/>
      <c r="F506" s="146"/>
      <c r="G506" s="146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ht="18.75" customHeight="1">
      <c r="A507" s="146"/>
      <c r="B507" s="146"/>
      <c r="C507" s="146"/>
      <c r="D507" s="146"/>
      <c r="E507" s="146"/>
      <c r="F507" s="146"/>
      <c r="G507" s="146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ht="18.75" customHeight="1">
      <c r="A508" s="146"/>
      <c r="B508" s="146"/>
      <c r="C508" s="146"/>
      <c r="D508" s="146"/>
      <c r="E508" s="146"/>
      <c r="F508" s="146"/>
      <c r="G508" s="146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ht="18.75" customHeight="1">
      <c r="A509" s="146"/>
      <c r="B509" s="146"/>
      <c r="C509" s="146"/>
      <c r="D509" s="146"/>
      <c r="E509" s="146"/>
      <c r="F509" s="146"/>
      <c r="G509" s="146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ht="18.75" customHeight="1">
      <c r="A510" s="146"/>
      <c r="B510" s="146"/>
      <c r="C510" s="146"/>
      <c r="D510" s="146"/>
      <c r="E510" s="146"/>
      <c r="F510" s="146"/>
      <c r="G510" s="146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ht="18.75" customHeight="1">
      <c r="A511" s="146"/>
      <c r="B511" s="146"/>
      <c r="C511" s="146"/>
      <c r="D511" s="146"/>
      <c r="E511" s="146"/>
      <c r="F511" s="146"/>
      <c r="G511" s="146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ht="18.75" customHeight="1">
      <c r="A512" s="146"/>
      <c r="B512" s="146"/>
      <c r="C512" s="146"/>
      <c r="D512" s="146"/>
      <c r="E512" s="146"/>
      <c r="F512" s="146"/>
      <c r="G512" s="146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ht="18.75" customHeight="1">
      <c r="A513" s="146"/>
      <c r="B513" s="146"/>
      <c r="C513" s="146"/>
      <c r="D513" s="146"/>
      <c r="E513" s="146"/>
      <c r="F513" s="146"/>
      <c r="G513" s="146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ht="18.75" customHeight="1">
      <c r="A514" s="146"/>
      <c r="B514" s="146"/>
      <c r="C514" s="146"/>
      <c r="D514" s="146"/>
      <c r="E514" s="146"/>
      <c r="F514" s="146"/>
      <c r="G514" s="146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ht="18.75" customHeight="1">
      <c r="A515" s="146"/>
      <c r="B515" s="146"/>
      <c r="C515" s="146"/>
      <c r="D515" s="146"/>
      <c r="E515" s="146"/>
      <c r="F515" s="146"/>
      <c r="G515" s="146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ht="18.75" customHeight="1">
      <c r="A516" s="146"/>
      <c r="B516" s="146"/>
      <c r="C516" s="146"/>
      <c r="D516" s="146"/>
      <c r="E516" s="146"/>
      <c r="F516" s="146"/>
      <c r="G516" s="146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ht="18.75" customHeight="1">
      <c r="A517" s="146"/>
      <c r="B517" s="146"/>
      <c r="C517" s="146"/>
      <c r="D517" s="146"/>
      <c r="E517" s="146"/>
      <c r="F517" s="146"/>
      <c r="G517" s="146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ht="18.75" customHeight="1">
      <c r="A518" s="146"/>
      <c r="B518" s="146"/>
      <c r="C518" s="146"/>
      <c r="D518" s="146"/>
      <c r="E518" s="146"/>
      <c r="F518" s="146"/>
      <c r="G518" s="146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ht="18.75" customHeight="1">
      <c r="A519" s="146"/>
      <c r="B519" s="146"/>
      <c r="C519" s="146"/>
      <c r="D519" s="146"/>
      <c r="E519" s="146"/>
      <c r="F519" s="146"/>
      <c r="G519" s="146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ht="18.75" customHeight="1">
      <c r="A520" s="146"/>
      <c r="B520" s="146"/>
      <c r="C520" s="146"/>
      <c r="D520" s="146"/>
      <c r="E520" s="146"/>
      <c r="F520" s="146"/>
      <c r="G520" s="146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ht="18.75" customHeight="1">
      <c r="A521" s="146"/>
      <c r="B521" s="146"/>
      <c r="C521" s="146"/>
      <c r="D521" s="146"/>
      <c r="E521" s="146"/>
      <c r="F521" s="146"/>
      <c r="G521" s="146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ht="18.75" customHeight="1">
      <c r="A522" s="146"/>
      <c r="B522" s="146"/>
      <c r="C522" s="146"/>
      <c r="D522" s="146"/>
      <c r="E522" s="146"/>
      <c r="F522" s="146"/>
      <c r="G522" s="146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ht="18.75" customHeight="1">
      <c r="A523" s="146"/>
      <c r="B523" s="146"/>
      <c r="C523" s="146"/>
      <c r="D523" s="146"/>
      <c r="E523" s="146"/>
      <c r="F523" s="146"/>
      <c r="G523" s="146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ht="18.75" customHeight="1">
      <c r="A524" s="146"/>
      <c r="B524" s="146"/>
      <c r="C524" s="146"/>
      <c r="D524" s="146"/>
      <c r="E524" s="146"/>
      <c r="F524" s="146"/>
      <c r="G524" s="146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ht="18.75" customHeight="1">
      <c r="A525" s="146"/>
      <c r="B525" s="146"/>
      <c r="C525" s="146"/>
      <c r="D525" s="146"/>
      <c r="E525" s="146"/>
      <c r="F525" s="146"/>
      <c r="G525" s="146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ht="18.75" customHeight="1">
      <c r="A526" s="146"/>
      <c r="B526" s="146"/>
      <c r="C526" s="146"/>
      <c r="D526" s="146"/>
      <c r="E526" s="146"/>
      <c r="F526" s="146"/>
      <c r="G526" s="146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ht="18.75" customHeight="1">
      <c r="A527" s="146"/>
      <c r="B527" s="146"/>
      <c r="C527" s="146"/>
      <c r="D527" s="146"/>
      <c r="E527" s="146"/>
      <c r="F527" s="146"/>
      <c r="G527" s="146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ht="18.75" customHeight="1">
      <c r="A528" s="146"/>
      <c r="B528" s="146"/>
      <c r="C528" s="146"/>
      <c r="D528" s="146"/>
      <c r="E528" s="146"/>
      <c r="F528" s="146"/>
      <c r="G528" s="146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ht="18.75" customHeight="1">
      <c r="A529" s="146"/>
      <c r="B529" s="146"/>
      <c r="C529" s="146"/>
      <c r="D529" s="146"/>
      <c r="E529" s="146"/>
      <c r="F529" s="146"/>
      <c r="G529" s="146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ht="18.75" customHeight="1">
      <c r="A530" s="146"/>
      <c r="B530" s="146"/>
      <c r="C530" s="146"/>
      <c r="D530" s="146"/>
      <c r="E530" s="146"/>
      <c r="F530" s="146"/>
      <c r="G530" s="146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ht="18.75" customHeight="1">
      <c r="A531" s="146"/>
      <c r="B531" s="146"/>
      <c r="C531" s="146"/>
      <c r="D531" s="146"/>
      <c r="E531" s="146"/>
      <c r="F531" s="146"/>
      <c r="G531" s="146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ht="18.75" customHeight="1">
      <c r="A532" s="146"/>
      <c r="B532" s="146"/>
      <c r="C532" s="146"/>
      <c r="D532" s="146"/>
      <c r="E532" s="146"/>
      <c r="F532" s="146"/>
      <c r="G532" s="146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ht="18.75" customHeight="1">
      <c r="A533" s="146"/>
      <c r="B533" s="146"/>
      <c r="C533" s="146"/>
      <c r="D533" s="146"/>
      <c r="E533" s="146"/>
      <c r="F533" s="146"/>
      <c r="G533" s="146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ht="18.75" customHeight="1">
      <c r="A534" s="146"/>
      <c r="B534" s="146"/>
      <c r="C534" s="146"/>
      <c r="D534" s="146"/>
      <c r="E534" s="146"/>
      <c r="F534" s="146"/>
      <c r="G534" s="146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ht="18.75" customHeight="1">
      <c r="A535" s="146"/>
      <c r="B535" s="146"/>
      <c r="C535" s="146"/>
      <c r="D535" s="146"/>
      <c r="E535" s="146"/>
      <c r="F535" s="146"/>
      <c r="G535" s="146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ht="18.75" customHeight="1">
      <c r="A536" s="146"/>
      <c r="B536" s="146"/>
      <c r="C536" s="146"/>
      <c r="D536" s="146"/>
      <c r="E536" s="146"/>
      <c r="F536" s="146"/>
      <c r="G536" s="146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ht="18.75" customHeight="1">
      <c r="A537" s="146"/>
      <c r="B537" s="146"/>
      <c r="C537" s="146"/>
      <c r="D537" s="146"/>
      <c r="E537" s="146"/>
      <c r="F537" s="146"/>
      <c r="G537" s="146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ht="18.75" customHeight="1">
      <c r="A538" s="146"/>
      <c r="B538" s="146"/>
      <c r="C538" s="146"/>
      <c r="D538" s="146"/>
      <c r="E538" s="146"/>
      <c r="F538" s="146"/>
      <c r="G538" s="146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ht="18.75" customHeight="1">
      <c r="A539" s="146"/>
      <c r="B539" s="146"/>
      <c r="C539" s="146"/>
      <c r="D539" s="146"/>
      <c r="E539" s="146"/>
      <c r="F539" s="146"/>
      <c r="G539" s="146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ht="18.75" customHeight="1">
      <c r="A540" s="146"/>
      <c r="B540" s="146"/>
      <c r="C540" s="146"/>
      <c r="D540" s="146"/>
      <c r="E540" s="146"/>
      <c r="F540" s="146"/>
      <c r="G540" s="146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ht="18.75" customHeight="1">
      <c r="A541" s="146"/>
      <c r="B541" s="146"/>
      <c r="C541" s="146"/>
      <c r="D541" s="146"/>
      <c r="E541" s="146"/>
      <c r="F541" s="146"/>
      <c r="G541" s="146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ht="18.75" customHeight="1">
      <c r="A542" s="146"/>
      <c r="B542" s="146"/>
      <c r="C542" s="146"/>
      <c r="D542" s="146"/>
      <c r="E542" s="146"/>
      <c r="F542" s="146"/>
      <c r="G542" s="146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ht="18.75" customHeight="1">
      <c r="A543" s="146"/>
      <c r="B543" s="146"/>
      <c r="C543" s="146"/>
      <c r="D543" s="146"/>
      <c r="E543" s="146"/>
      <c r="F543" s="146"/>
      <c r="G543" s="146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ht="18.75" customHeight="1">
      <c r="A544" s="146"/>
      <c r="B544" s="146"/>
      <c r="C544" s="146"/>
      <c r="D544" s="146"/>
      <c r="E544" s="146"/>
      <c r="F544" s="146"/>
      <c r="G544" s="146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ht="18.75" customHeight="1">
      <c r="A545" s="146"/>
      <c r="B545" s="146"/>
      <c r="C545" s="146"/>
      <c r="D545" s="146"/>
      <c r="E545" s="146"/>
      <c r="F545" s="146"/>
      <c r="G545" s="146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ht="18.75" customHeight="1">
      <c r="A546" s="146"/>
      <c r="B546" s="146"/>
      <c r="C546" s="146"/>
      <c r="D546" s="146"/>
      <c r="E546" s="146"/>
      <c r="F546" s="146"/>
      <c r="G546" s="146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ht="18.75" customHeight="1">
      <c r="A547" s="146"/>
      <c r="B547" s="146"/>
      <c r="C547" s="146"/>
      <c r="D547" s="146"/>
      <c r="E547" s="146"/>
      <c r="F547" s="146"/>
      <c r="G547" s="146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ht="18.75" customHeight="1">
      <c r="A548" s="146"/>
      <c r="B548" s="146"/>
      <c r="C548" s="146"/>
      <c r="D548" s="146"/>
      <c r="E548" s="146"/>
      <c r="F548" s="146"/>
      <c r="G548" s="146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ht="18.75" customHeight="1">
      <c r="A549" s="146"/>
      <c r="B549" s="146"/>
      <c r="C549" s="146"/>
      <c r="D549" s="146"/>
      <c r="E549" s="146"/>
      <c r="F549" s="146"/>
      <c r="G549" s="146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ht="18.75" customHeight="1">
      <c r="A550" s="146"/>
      <c r="B550" s="146"/>
      <c r="C550" s="146"/>
      <c r="D550" s="146"/>
      <c r="E550" s="146"/>
      <c r="F550" s="146"/>
      <c r="G550" s="146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ht="18.75" customHeight="1">
      <c r="A551" s="146"/>
      <c r="B551" s="146"/>
      <c r="C551" s="146"/>
      <c r="D551" s="146"/>
      <c r="E551" s="146"/>
      <c r="F551" s="146"/>
      <c r="G551" s="146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ht="18.75" customHeight="1">
      <c r="A552" s="146"/>
      <c r="B552" s="146"/>
      <c r="C552" s="146"/>
      <c r="D552" s="146"/>
      <c r="E552" s="146"/>
      <c r="F552" s="146"/>
      <c r="G552" s="146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ht="18.75" customHeight="1">
      <c r="A553" s="146"/>
      <c r="B553" s="146"/>
      <c r="C553" s="146"/>
      <c r="D553" s="146"/>
      <c r="E553" s="146"/>
      <c r="F553" s="146"/>
      <c r="G553" s="146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ht="18.75" customHeight="1">
      <c r="A554" s="146"/>
      <c r="B554" s="146"/>
      <c r="C554" s="146"/>
      <c r="D554" s="146"/>
      <c r="E554" s="146"/>
      <c r="F554" s="146"/>
      <c r="G554" s="146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ht="18.75" customHeight="1">
      <c r="A555" s="146"/>
      <c r="B555" s="146"/>
      <c r="C555" s="146"/>
      <c r="D555" s="146"/>
      <c r="E555" s="146"/>
      <c r="F555" s="146"/>
      <c r="G555" s="146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ht="18.75" customHeight="1">
      <c r="A556" s="146"/>
      <c r="B556" s="146"/>
      <c r="C556" s="146"/>
      <c r="D556" s="146"/>
      <c r="E556" s="146"/>
      <c r="F556" s="146"/>
      <c r="G556" s="146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ht="18.75" customHeight="1">
      <c r="A557" s="146"/>
      <c r="B557" s="146"/>
      <c r="C557" s="146"/>
      <c r="D557" s="146"/>
      <c r="E557" s="146"/>
      <c r="F557" s="146"/>
      <c r="G557" s="146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ht="18.75" customHeight="1">
      <c r="A558" s="146"/>
      <c r="B558" s="146"/>
      <c r="C558" s="146"/>
      <c r="D558" s="146"/>
      <c r="E558" s="146"/>
      <c r="F558" s="146"/>
      <c r="G558" s="146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ht="18.75" customHeight="1">
      <c r="A559" s="146"/>
      <c r="B559" s="146"/>
      <c r="C559" s="146"/>
      <c r="D559" s="146"/>
      <c r="E559" s="146"/>
      <c r="F559" s="146"/>
      <c r="G559" s="146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ht="18.75" customHeight="1">
      <c r="A560" s="146"/>
      <c r="B560" s="146"/>
      <c r="C560" s="146"/>
      <c r="D560" s="146"/>
      <c r="E560" s="146"/>
      <c r="F560" s="146"/>
      <c r="G560" s="146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ht="18.75" customHeight="1">
      <c r="A561" s="146"/>
      <c r="B561" s="146"/>
      <c r="C561" s="146"/>
      <c r="D561" s="146"/>
      <c r="E561" s="146"/>
      <c r="F561" s="146"/>
      <c r="G561" s="146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ht="18.75" customHeight="1">
      <c r="A562" s="146"/>
      <c r="B562" s="146"/>
      <c r="C562" s="146"/>
      <c r="D562" s="146"/>
      <c r="E562" s="146"/>
      <c r="F562" s="146"/>
      <c r="G562" s="146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ht="18.75" customHeight="1">
      <c r="A563" s="146"/>
      <c r="B563" s="146"/>
      <c r="C563" s="146"/>
      <c r="D563" s="146"/>
      <c r="E563" s="146"/>
      <c r="F563" s="146"/>
      <c r="G563" s="146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ht="18.75" customHeight="1">
      <c r="A564" s="146"/>
      <c r="B564" s="146"/>
      <c r="C564" s="146"/>
      <c r="D564" s="146"/>
      <c r="E564" s="146"/>
      <c r="F564" s="146"/>
      <c r="G564" s="146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ht="18.75" customHeight="1">
      <c r="A565" s="146"/>
      <c r="B565" s="146"/>
      <c r="C565" s="146"/>
      <c r="D565" s="146"/>
      <c r="E565" s="146"/>
      <c r="F565" s="146"/>
      <c r="G565" s="146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ht="18.75" customHeight="1">
      <c r="A566" s="146"/>
      <c r="B566" s="146"/>
      <c r="C566" s="146"/>
      <c r="D566" s="146"/>
      <c r="E566" s="146"/>
      <c r="F566" s="146"/>
      <c r="G566" s="146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ht="18.75" customHeight="1">
      <c r="A567" s="146"/>
      <c r="B567" s="146"/>
      <c r="C567" s="146"/>
      <c r="D567" s="146"/>
      <c r="E567" s="146"/>
      <c r="F567" s="146"/>
      <c r="G567" s="146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ht="18.75" customHeight="1">
      <c r="A568" s="146"/>
      <c r="B568" s="146"/>
      <c r="C568" s="146"/>
      <c r="D568" s="146"/>
      <c r="E568" s="146"/>
      <c r="F568" s="146"/>
      <c r="G568" s="146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ht="18.75" customHeight="1">
      <c r="A569" s="146"/>
      <c r="B569" s="146"/>
      <c r="C569" s="146"/>
      <c r="D569" s="146"/>
      <c r="E569" s="146"/>
      <c r="F569" s="146"/>
      <c r="G569" s="146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ht="18.75" customHeight="1">
      <c r="A570" s="146"/>
      <c r="B570" s="146"/>
      <c r="C570" s="146"/>
      <c r="D570" s="146"/>
      <c r="E570" s="146"/>
      <c r="F570" s="146"/>
      <c r="G570" s="146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ht="18.75" customHeight="1">
      <c r="A571" s="146"/>
      <c r="B571" s="146"/>
      <c r="C571" s="146"/>
      <c r="D571" s="146"/>
      <c r="E571" s="146"/>
      <c r="F571" s="146"/>
      <c r="G571" s="146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ht="18.75" customHeight="1">
      <c r="A572" s="146"/>
      <c r="B572" s="146"/>
      <c r="C572" s="146"/>
      <c r="D572" s="146"/>
      <c r="E572" s="146"/>
      <c r="F572" s="146"/>
      <c r="G572" s="146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ht="18.75" customHeight="1">
      <c r="A573" s="146"/>
      <c r="B573" s="146"/>
      <c r="C573" s="146"/>
      <c r="D573" s="146"/>
      <c r="E573" s="146"/>
      <c r="F573" s="146"/>
      <c r="G573" s="146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ht="18.75" customHeight="1">
      <c r="A574" s="146"/>
      <c r="B574" s="146"/>
      <c r="C574" s="146"/>
      <c r="D574" s="146"/>
      <c r="E574" s="146"/>
      <c r="F574" s="146"/>
      <c r="G574" s="146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ht="18.75" customHeight="1">
      <c r="A575" s="146"/>
      <c r="B575" s="146"/>
      <c r="C575" s="146"/>
      <c r="D575" s="146"/>
      <c r="E575" s="146"/>
      <c r="F575" s="146"/>
      <c r="G575" s="146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ht="18.75" customHeight="1">
      <c r="A576" s="146"/>
      <c r="B576" s="146"/>
      <c r="C576" s="146"/>
      <c r="D576" s="146"/>
      <c r="E576" s="146"/>
      <c r="F576" s="146"/>
      <c r="G576" s="146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ht="18.75" customHeight="1">
      <c r="A577" s="146"/>
      <c r="B577" s="146"/>
      <c r="C577" s="146"/>
      <c r="D577" s="146"/>
      <c r="E577" s="146"/>
      <c r="F577" s="146"/>
      <c r="G577" s="146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ht="18.75" customHeight="1">
      <c r="A578" s="146"/>
      <c r="B578" s="146"/>
      <c r="C578" s="146"/>
      <c r="D578" s="146"/>
      <c r="E578" s="146"/>
      <c r="F578" s="146"/>
      <c r="G578" s="146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ht="18.75" customHeight="1">
      <c r="A579" s="146"/>
      <c r="B579" s="146"/>
      <c r="C579" s="146"/>
      <c r="D579" s="146"/>
      <c r="E579" s="146"/>
      <c r="F579" s="146"/>
      <c r="G579" s="146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ht="18.75" customHeight="1">
      <c r="A580" s="146"/>
      <c r="B580" s="146"/>
      <c r="C580" s="146"/>
      <c r="D580" s="146"/>
      <c r="E580" s="146"/>
      <c r="F580" s="146"/>
      <c r="G580" s="146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ht="18.75" customHeight="1">
      <c r="A581" s="146"/>
      <c r="B581" s="146"/>
      <c r="C581" s="146"/>
      <c r="D581" s="146"/>
      <c r="E581" s="146"/>
      <c r="F581" s="146"/>
      <c r="G581" s="146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ht="18.75" customHeight="1">
      <c r="A582" s="146"/>
      <c r="B582" s="146"/>
      <c r="C582" s="146"/>
      <c r="D582" s="146"/>
      <c r="E582" s="146"/>
      <c r="F582" s="146"/>
      <c r="G582" s="146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ht="18.75" customHeight="1">
      <c r="A583" s="146"/>
      <c r="B583" s="146"/>
      <c r="C583" s="146"/>
      <c r="D583" s="146"/>
      <c r="E583" s="146"/>
      <c r="F583" s="146"/>
      <c r="G583" s="146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ht="18.75" customHeight="1">
      <c r="A584" s="146"/>
      <c r="B584" s="146"/>
      <c r="C584" s="146"/>
      <c r="D584" s="146"/>
      <c r="E584" s="146"/>
      <c r="F584" s="146"/>
      <c r="G584" s="146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ht="18.75" customHeight="1">
      <c r="A585" s="146"/>
      <c r="B585" s="146"/>
      <c r="C585" s="146"/>
      <c r="D585" s="146"/>
      <c r="E585" s="146"/>
      <c r="F585" s="146"/>
      <c r="G585" s="146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ht="18.75" customHeight="1">
      <c r="A586" s="146"/>
      <c r="B586" s="146"/>
      <c r="C586" s="146"/>
      <c r="D586" s="146"/>
      <c r="E586" s="146"/>
      <c r="F586" s="146"/>
      <c r="G586" s="146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ht="18.75" customHeight="1">
      <c r="A587" s="146"/>
      <c r="B587" s="146"/>
      <c r="C587" s="146"/>
      <c r="D587" s="146"/>
      <c r="E587" s="146"/>
      <c r="F587" s="146"/>
      <c r="G587" s="146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ht="18.75" customHeight="1">
      <c r="A588" s="146"/>
      <c r="B588" s="146"/>
      <c r="C588" s="146"/>
      <c r="D588" s="146"/>
      <c r="E588" s="146"/>
      <c r="F588" s="146"/>
      <c r="G588" s="146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ht="18.75" customHeight="1">
      <c r="A589" s="146"/>
      <c r="B589" s="146"/>
      <c r="C589" s="146"/>
      <c r="D589" s="146"/>
      <c r="E589" s="146"/>
      <c r="F589" s="146"/>
      <c r="G589" s="146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ht="18.75" customHeight="1">
      <c r="A590" s="146"/>
      <c r="B590" s="146"/>
      <c r="C590" s="146"/>
      <c r="D590" s="146"/>
      <c r="E590" s="146"/>
      <c r="F590" s="146"/>
      <c r="G590" s="146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ht="18.75" customHeight="1">
      <c r="A591" s="146"/>
      <c r="B591" s="146"/>
      <c r="C591" s="146"/>
      <c r="D591" s="146"/>
      <c r="E591" s="146"/>
      <c r="F591" s="146"/>
      <c r="G591" s="146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ht="18.75" customHeight="1">
      <c r="A592" s="146"/>
      <c r="B592" s="146"/>
      <c r="C592" s="146"/>
      <c r="D592" s="146"/>
      <c r="E592" s="146"/>
      <c r="F592" s="146"/>
      <c r="G592" s="146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ht="18.75" customHeight="1">
      <c r="A593" s="146"/>
      <c r="B593" s="146"/>
      <c r="C593" s="146"/>
      <c r="D593" s="146"/>
      <c r="E593" s="146"/>
      <c r="F593" s="146"/>
      <c r="G593" s="146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ht="18.75" customHeight="1">
      <c r="A594" s="146"/>
      <c r="B594" s="146"/>
      <c r="C594" s="146"/>
      <c r="D594" s="146"/>
      <c r="E594" s="146"/>
      <c r="F594" s="146"/>
      <c r="G594" s="146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ht="18.75" customHeight="1">
      <c r="A595" s="146"/>
      <c r="B595" s="146"/>
      <c r="C595" s="146"/>
      <c r="D595" s="146"/>
      <c r="E595" s="146"/>
      <c r="F595" s="146"/>
      <c r="G595" s="146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ht="18.75" customHeight="1">
      <c r="A596" s="146"/>
      <c r="B596" s="146"/>
      <c r="C596" s="146"/>
      <c r="D596" s="146"/>
      <c r="E596" s="146"/>
      <c r="F596" s="146"/>
      <c r="G596" s="146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ht="18.75" customHeight="1">
      <c r="A597" s="146"/>
      <c r="B597" s="146"/>
      <c r="C597" s="146"/>
      <c r="D597" s="146"/>
      <c r="E597" s="146"/>
      <c r="F597" s="146"/>
      <c r="G597" s="146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ht="18.75" customHeight="1">
      <c r="A598" s="146"/>
      <c r="B598" s="146"/>
      <c r="C598" s="146"/>
      <c r="D598" s="146"/>
      <c r="E598" s="146"/>
      <c r="F598" s="146"/>
      <c r="G598" s="146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ht="18.75" customHeight="1">
      <c r="A599" s="146"/>
      <c r="B599" s="146"/>
      <c r="C599" s="146"/>
      <c r="D599" s="146"/>
      <c r="E599" s="146"/>
      <c r="F599" s="146"/>
      <c r="G599" s="146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ht="18.75" customHeight="1">
      <c r="A600" s="146"/>
      <c r="B600" s="146"/>
      <c r="C600" s="146"/>
      <c r="D600" s="146"/>
      <c r="E600" s="146"/>
      <c r="F600" s="146"/>
      <c r="G600" s="146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ht="18.75" customHeight="1">
      <c r="A601" s="146"/>
      <c r="B601" s="146"/>
      <c r="C601" s="146"/>
      <c r="D601" s="146"/>
      <c r="E601" s="146"/>
      <c r="F601" s="146"/>
      <c r="G601" s="146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ht="18.75" customHeight="1">
      <c r="A602" s="146"/>
      <c r="B602" s="146"/>
      <c r="C602" s="146"/>
      <c r="D602" s="146"/>
      <c r="E602" s="146"/>
      <c r="F602" s="146"/>
      <c r="G602" s="146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ht="18.75" customHeight="1">
      <c r="A603" s="146"/>
      <c r="B603" s="146"/>
      <c r="C603" s="146"/>
      <c r="D603" s="146"/>
      <c r="E603" s="146"/>
      <c r="F603" s="146"/>
      <c r="G603" s="146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ht="18.75" customHeight="1">
      <c r="A604" s="146"/>
      <c r="B604" s="146"/>
      <c r="C604" s="146"/>
      <c r="D604" s="146"/>
      <c r="E604" s="146"/>
      <c r="F604" s="146"/>
      <c r="G604" s="146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ht="18.75" customHeight="1">
      <c r="A605" s="146"/>
      <c r="B605" s="146"/>
      <c r="C605" s="146"/>
      <c r="D605" s="146"/>
      <c r="E605" s="146"/>
      <c r="F605" s="146"/>
      <c r="G605" s="146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ht="18.75" customHeight="1">
      <c r="A606" s="146"/>
      <c r="B606" s="146"/>
      <c r="C606" s="146"/>
      <c r="D606" s="146"/>
      <c r="E606" s="146"/>
      <c r="F606" s="146"/>
      <c r="G606" s="146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ht="18.75" customHeight="1">
      <c r="A607" s="146"/>
      <c r="B607" s="146"/>
      <c r="C607" s="146"/>
      <c r="D607" s="146"/>
      <c r="E607" s="146"/>
      <c r="F607" s="146"/>
      <c r="G607" s="146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ht="18.75" customHeight="1">
      <c r="A608" s="146"/>
      <c r="B608" s="146"/>
      <c r="C608" s="146"/>
      <c r="D608" s="146"/>
      <c r="E608" s="146"/>
      <c r="F608" s="146"/>
      <c r="G608" s="146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ht="18.75" customHeight="1">
      <c r="A609" s="146"/>
      <c r="B609" s="146"/>
      <c r="C609" s="146"/>
      <c r="D609" s="146"/>
      <c r="E609" s="146"/>
      <c r="F609" s="146"/>
      <c r="G609" s="146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ht="18.75" customHeight="1">
      <c r="A610" s="146"/>
      <c r="B610" s="146"/>
      <c r="C610" s="146"/>
      <c r="D610" s="146"/>
      <c r="E610" s="146"/>
      <c r="F610" s="146"/>
      <c r="G610" s="146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ht="18.75" customHeight="1">
      <c r="A611" s="146"/>
      <c r="B611" s="146"/>
      <c r="C611" s="146"/>
      <c r="D611" s="146"/>
      <c r="E611" s="146"/>
      <c r="F611" s="146"/>
      <c r="G611" s="146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ht="18.75" customHeight="1">
      <c r="A612" s="146"/>
      <c r="B612" s="146"/>
      <c r="C612" s="146"/>
      <c r="D612" s="146"/>
      <c r="E612" s="146"/>
      <c r="F612" s="146"/>
      <c r="G612" s="146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ht="18.75" customHeight="1">
      <c r="A613" s="146"/>
      <c r="B613" s="146"/>
      <c r="C613" s="146"/>
      <c r="D613" s="146"/>
      <c r="E613" s="146"/>
      <c r="F613" s="146"/>
      <c r="G613" s="146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ht="18.75" customHeight="1">
      <c r="A614" s="146"/>
      <c r="B614" s="146"/>
      <c r="C614" s="146"/>
      <c r="D614" s="146"/>
      <c r="E614" s="146"/>
      <c r="F614" s="146"/>
      <c r="G614" s="146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ht="18.75" customHeight="1">
      <c r="A615" s="146"/>
      <c r="B615" s="146"/>
      <c r="C615" s="146"/>
      <c r="D615" s="146"/>
      <c r="E615" s="146"/>
      <c r="F615" s="146"/>
      <c r="G615" s="146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ht="18.75" customHeight="1">
      <c r="A616" s="146"/>
      <c r="B616" s="146"/>
      <c r="C616" s="146"/>
      <c r="D616" s="146"/>
      <c r="E616" s="146"/>
      <c r="F616" s="146"/>
      <c r="G616" s="146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ht="18.75" customHeight="1">
      <c r="A617" s="146"/>
      <c r="B617" s="146"/>
      <c r="C617" s="146"/>
      <c r="D617" s="146"/>
      <c r="E617" s="146"/>
      <c r="F617" s="146"/>
      <c r="G617" s="146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ht="18.75" customHeight="1">
      <c r="A618" s="146"/>
      <c r="B618" s="146"/>
      <c r="C618" s="146"/>
      <c r="D618" s="146"/>
      <c r="E618" s="146"/>
      <c r="F618" s="146"/>
      <c r="G618" s="146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ht="18.75" customHeight="1">
      <c r="A619" s="146"/>
      <c r="B619" s="146"/>
      <c r="C619" s="146"/>
      <c r="D619" s="146"/>
      <c r="E619" s="146"/>
      <c r="F619" s="146"/>
      <c r="G619" s="146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ht="18.75" customHeight="1">
      <c r="A620" s="146"/>
      <c r="B620" s="146"/>
      <c r="C620" s="146"/>
      <c r="D620" s="146"/>
      <c r="E620" s="146"/>
      <c r="F620" s="146"/>
      <c r="G620" s="146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ht="18.75" customHeight="1">
      <c r="A621" s="146"/>
      <c r="B621" s="146"/>
      <c r="C621" s="146"/>
      <c r="D621" s="146"/>
      <c r="E621" s="146"/>
      <c r="F621" s="146"/>
      <c r="G621" s="146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ht="18.75" customHeight="1">
      <c r="A622" s="146"/>
      <c r="B622" s="146"/>
      <c r="C622" s="146"/>
      <c r="D622" s="146"/>
      <c r="E622" s="146"/>
      <c r="F622" s="146"/>
      <c r="G622" s="146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ht="18.75" customHeight="1">
      <c r="A623" s="146"/>
      <c r="B623" s="146"/>
      <c r="C623" s="146"/>
      <c r="D623" s="146"/>
      <c r="E623" s="146"/>
      <c r="F623" s="146"/>
      <c r="G623" s="146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ht="18.75" customHeight="1">
      <c r="A624" s="146"/>
      <c r="B624" s="146"/>
      <c r="C624" s="146"/>
      <c r="D624" s="146"/>
      <c r="E624" s="146"/>
      <c r="F624" s="146"/>
      <c r="G624" s="146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ht="18.75" customHeight="1">
      <c r="A625" s="146"/>
      <c r="B625" s="146"/>
      <c r="C625" s="146"/>
      <c r="D625" s="146"/>
      <c r="E625" s="146"/>
      <c r="F625" s="146"/>
      <c r="G625" s="146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ht="18.75" customHeight="1">
      <c r="A626" s="146"/>
      <c r="B626" s="146"/>
      <c r="C626" s="146"/>
      <c r="D626" s="146"/>
      <c r="E626" s="146"/>
      <c r="F626" s="146"/>
      <c r="G626" s="146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ht="18.75" customHeight="1">
      <c r="A627" s="146"/>
      <c r="B627" s="146"/>
      <c r="C627" s="146"/>
      <c r="D627" s="146"/>
      <c r="E627" s="146"/>
      <c r="F627" s="146"/>
      <c r="G627" s="146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ht="18.75" customHeight="1">
      <c r="A628" s="146"/>
      <c r="B628" s="146"/>
      <c r="C628" s="146"/>
      <c r="D628" s="146"/>
      <c r="E628" s="146"/>
      <c r="F628" s="146"/>
      <c r="G628" s="146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ht="18.75" customHeight="1">
      <c r="A629" s="146"/>
      <c r="B629" s="146"/>
      <c r="C629" s="146"/>
      <c r="D629" s="146"/>
      <c r="E629" s="146"/>
      <c r="F629" s="146"/>
      <c r="G629" s="146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ht="18.75" customHeight="1">
      <c r="A630" s="146"/>
      <c r="B630" s="146"/>
      <c r="C630" s="146"/>
      <c r="D630" s="146"/>
      <c r="E630" s="146"/>
      <c r="F630" s="146"/>
      <c r="G630" s="146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ht="18.75" customHeight="1">
      <c r="A631" s="146"/>
      <c r="B631" s="146"/>
      <c r="C631" s="146"/>
      <c r="D631" s="146"/>
      <c r="E631" s="146"/>
      <c r="F631" s="146"/>
      <c r="G631" s="146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ht="18.75" customHeight="1">
      <c r="A632" s="146"/>
      <c r="B632" s="146"/>
      <c r="C632" s="146"/>
      <c r="D632" s="146"/>
      <c r="E632" s="146"/>
      <c r="F632" s="146"/>
      <c r="G632" s="146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ht="18.75" customHeight="1">
      <c r="A633" s="146"/>
      <c r="B633" s="146"/>
      <c r="C633" s="146"/>
      <c r="D633" s="146"/>
      <c r="E633" s="146"/>
      <c r="F633" s="146"/>
      <c r="G633" s="146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ht="18.75" customHeight="1">
      <c r="A634" s="146"/>
      <c r="B634" s="146"/>
      <c r="C634" s="146"/>
      <c r="D634" s="146"/>
      <c r="E634" s="146"/>
      <c r="F634" s="146"/>
      <c r="G634" s="146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ht="18.75" customHeight="1">
      <c r="A635" s="146"/>
      <c r="B635" s="146"/>
      <c r="C635" s="146"/>
      <c r="D635" s="146"/>
      <c r="E635" s="146"/>
      <c r="F635" s="146"/>
      <c r="G635" s="146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ht="18.75" customHeight="1">
      <c r="A636" s="146"/>
      <c r="B636" s="146"/>
      <c r="C636" s="146"/>
      <c r="D636" s="146"/>
      <c r="E636" s="146"/>
      <c r="F636" s="146"/>
      <c r="G636" s="146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ht="18.75" customHeight="1">
      <c r="A637" s="146"/>
      <c r="B637" s="146"/>
      <c r="C637" s="146"/>
      <c r="D637" s="146"/>
      <c r="E637" s="146"/>
      <c r="F637" s="146"/>
      <c r="G637" s="146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ht="18.75" customHeight="1">
      <c r="A638" s="146"/>
      <c r="B638" s="146"/>
      <c r="C638" s="146"/>
      <c r="D638" s="146"/>
      <c r="E638" s="146"/>
      <c r="F638" s="146"/>
      <c r="G638" s="146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ht="18.75" customHeight="1">
      <c r="A639" s="146"/>
      <c r="B639" s="146"/>
      <c r="C639" s="146"/>
      <c r="D639" s="146"/>
      <c r="E639" s="146"/>
      <c r="F639" s="146"/>
      <c r="G639" s="146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ht="18.75" customHeight="1">
      <c r="A640" s="146"/>
      <c r="B640" s="146"/>
      <c r="C640" s="146"/>
      <c r="D640" s="146"/>
      <c r="E640" s="146"/>
      <c r="F640" s="146"/>
      <c r="G640" s="146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ht="18.75" customHeight="1">
      <c r="A641" s="146"/>
      <c r="B641" s="146"/>
      <c r="C641" s="146"/>
      <c r="D641" s="146"/>
      <c r="E641" s="146"/>
      <c r="F641" s="146"/>
      <c r="G641" s="146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ht="18.75" customHeight="1">
      <c r="A642" s="146"/>
      <c r="B642" s="146"/>
      <c r="C642" s="146"/>
      <c r="D642" s="146"/>
      <c r="E642" s="146"/>
      <c r="F642" s="146"/>
      <c r="G642" s="146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ht="18.75" customHeight="1">
      <c r="A643" s="146"/>
      <c r="B643" s="146"/>
      <c r="C643" s="146"/>
      <c r="D643" s="146"/>
      <c r="E643" s="146"/>
      <c r="F643" s="146"/>
      <c r="G643" s="146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ht="18.75" customHeight="1">
      <c r="A644" s="146"/>
      <c r="B644" s="146"/>
      <c r="C644" s="146"/>
      <c r="D644" s="146"/>
      <c r="E644" s="146"/>
      <c r="F644" s="146"/>
      <c r="G644" s="146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ht="18.75" customHeight="1">
      <c r="A645" s="146"/>
      <c r="B645" s="146"/>
      <c r="C645" s="146"/>
      <c r="D645" s="146"/>
      <c r="E645" s="146"/>
      <c r="F645" s="146"/>
      <c r="G645" s="146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ht="18.75" customHeight="1">
      <c r="A646" s="146"/>
      <c r="B646" s="146"/>
      <c r="C646" s="146"/>
      <c r="D646" s="146"/>
      <c r="E646" s="146"/>
      <c r="F646" s="146"/>
      <c r="G646" s="146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ht="18.75" customHeight="1">
      <c r="A647" s="146"/>
      <c r="B647" s="146"/>
      <c r="C647" s="146"/>
      <c r="D647" s="146"/>
      <c r="E647" s="146"/>
      <c r="F647" s="146"/>
      <c r="G647" s="146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ht="18.75" customHeight="1">
      <c r="A648" s="146"/>
      <c r="B648" s="146"/>
      <c r="C648" s="146"/>
      <c r="D648" s="146"/>
      <c r="E648" s="146"/>
      <c r="F648" s="146"/>
      <c r="G648" s="146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ht="18.75" customHeight="1">
      <c r="A649" s="146"/>
      <c r="B649" s="146"/>
      <c r="C649" s="146"/>
      <c r="D649" s="146"/>
      <c r="E649" s="146"/>
      <c r="F649" s="146"/>
      <c r="G649" s="146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ht="18.75" customHeight="1">
      <c r="A650" s="146"/>
      <c r="B650" s="146"/>
      <c r="C650" s="146"/>
      <c r="D650" s="146"/>
      <c r="E650" s="146"/>
      <c r="F650" s="146"/>
      <c r="G650" s="146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ht="18.75" customHeight="1">
      <c r="A651" s="146"/>
      <c r="B651" s="146"/>
      <c r="C651" s="146"/>
      <c r="D651" s="146"/>
      <c r="E651" s="146"/>
      <c r="F651" s="146"/>
      <c r="G651" s="146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ht="18.75" customHeight="1">
      <c r="A652" s="146"/>
      <c r="B652" s="146"/>
      <c r="C652" s="146"/>
      <c r="D652" s="146"/>
      <c r="E652" s="146"/>
      <c r="F652" s="146"/>
      <c r="G652" s="146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ht="18.75" customHeight="1">
      <c r="A653" s="146"/>
      <c r="B653" s="146"/>
      <c r="C653" s="146"/>
      <c r="D653" s="146"/>
      <c r="E653" s="146"/>
      <c r="F653" s="146"/>
      <c r="G653" s="146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ht="18.75" customHeight="1">
      <c r="A654" s="146"/>
      <c r="B654" s="146"/>
      <c r="C654" s="146"/>
      <c r="D654" s="146"/>
      <c r="E654" s="146"/>
      <c r="F654" s="146"/>
      <c r="G654" s="146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ht="18.75" customHeight="1">
      <c r="A655" s="146"/>
      <c r="B655" s="146"/>
      <c r="C655" s="146"/>
      <c r="D655" s="146"/>
      <c r="E655" s="146"/>
      <c r="F655" s="146"/>
      <c r="G655" s="146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ht="18.75" customHeight="1">
      <c r="A656" s="146"/>
      <c r="B656" s="146"/>
      <c r="C656" s="146"/>
      <c r="D656" s="146"/>
      <c r="E656" s="146"/>
      <c r="F656" s="146"/>
      <c r="G656" s="146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ht="18.75" customHeight="1">
      <c r="A657" s="146"/>
      <c r="B657" s="146"/>
      <c r="C657" s="146"/>
      <c r="D657" s="146"/>
      <c r="E657" s="146"/>
      <c r="F657" s="146"/>
      <c r="G657" s="146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ht="18.75" customHeight="1">
      <c r="A658" s="146"/>
      <c r="B658" s="146"/>
      <c r="C658" s="146"/>
      <c r="D658" s="146"/>
      <c r="E658" s="146"/>
      <c r="F658" s="146"/>
      <c r="G658" s="146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ht="18.75" customHeight="1">
      <c r="A659" s="146"/>
      <c r="B659" s="146"/>
      <c r="C659" s="146"/>
      <c r="D659" s="146"/>
      <c r="E659" s="146"/>
      <c r="F659" s="146"/>
      <c r="G659" s="146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ht="18.75" customHeight="1">
      <c r="A660" s="146"/>
      <c r="B660" s="146"/>
      <c r="C660" s="146"/>
      <c r="D660" s="146"/>
      <c r="E660" s="146"/>
      <c r="F660" s="146"/>
      <c r="G660" s="146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ht="18.75" customHeight="1">
      <c r="A661" s="146"/>
      <c r="B661" s="146"/>
      <c r="C661" s="146"/>
      <c r="D661" s="146"/>
      <c r="E661" s="146"/>
      <c r="F661" s="146"/>
      <c r="G661" s="146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ht="18.75" customHeight="1">
      <c r="A662" s="146"/>
      <c r="B662" s="146"/>
      <c r="C662" s="146"/>
      <c r="D662" s="146"/>
      <c r="E662" s="146"/>
      <c r="F662" s="146"/>
      <c r="G662" s="146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ht="18.75" customHeight="1">
      <c r="A663" s="146"/>
      <c r="B663" s="146"/>
      <c r="C663" s="146"/>
      <c r="D663" s="146"/>
      <c r="E663" s="146"/>
      <c r="F663" s="146"/>
      <c r="G663" s="146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ht="18.75" customHeight="1">
      <c r="A664" s="146"/>
      <c r="B664" s="146"/>
      <c r="C664" s="146"/>
      <c r="D664" s="146"/>
      <c r="E664" s="146"/>
      <c r="F664" s="146"/>
      <c r="G664" s="146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ht="18.75" customHeight="1">
      <c r="A665" s="146"/>
      <c r="B665" s="146"/>
      <c r="C665" s="146"/>
      <c r="D665" s="146"/>
      <c r="E665" s="146"/>
      <c r="F665" s="146"/>
      <c r="G665" s="146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ht="18.75" customHeight="1">
      <c r="A666" s="146"/>
      <c r="B666" s="146"/>
      <c r="C666" s="146"/>
      <c r="D666" s="146"/>
      <c r="E666" s="146"/>
      <c r="F666" s="146"/>
      <c r="G666" s="146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ht="18.75" customHeight="1">
      <c r="A667" s="146"/>
      <c r="B667" s="146"/>
      <c r="C667" s="146"/>
      <c r="D667" s="146"/>
      <c r="E667" s="146"/>
      <c r="F667" s="146"/>
      <c r="G667" s="146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ht="18.75" customHeight="1">
      <c r="A668" s="146"/>
      <c r="B668" s="146"/>
      <c r="C668" s="146"/>
      <c r="D668" s="146"/>
      <c r="E668" s="146"/>
      <c r="F668" s="146"/>
      <c r="G668" s="146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ht="18.75" customHeight="1">
      <c r="A669" s="146"/>
      <c r="B669" s="146"/>
      <c r="C669" s="146"/>
      <c r="D669" s="146"/>
      <c r="E669" s="146"/>
      <c r="F669" s="146"/>
      <c r="G669" s="146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ht="18.75" customHeight="1">
      <c r="A670" s="146"/>
      <c r="B670" s="146"/>
      <c r="C670" s="146"/>
      <c r="D670" s="146"/>
      <c r="E670" s="146"/>
      <c r="F670" s="146"/>
      <c r="G670" s="146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ht="18.75" customHeight="1">
      <c r="A671" s="146"/>
      <c r="B671" s="146"/>
      <c r="C671" s="146"/>
      <c r="D671" s="146"/>
      <c r="E671" s="146"/>
      <c r="F671" s="146"/>
      <c r="G671" s="146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ht="18.75" customHeight="1">
      <c r="A672" s="146"/>
      <c r="B672" s="146"/>
      <c r="C672" s="146"/>
      <c r="D672" s="146"/>
      <c r="E672" s="146"/>
      <c r="F672" s="146"/>
      <c r="G672" s="146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ht="18.75" customHeight="1">
      <c r="A673" s="146"/>
      <c r="B673" s="146"/>
      <c r="C673" s="146"/>
      <c r="D673" s="146"/>
      <c r="E673" s="146"/>
      <c r="F673" s="146"/>
      <c r="G673" s="146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ht="18.75" customHeight="1">
      <c r="A674" s="146"/>
      <c r="B674" s="146"/>
      <c r="C674" s="146"/>
      <c r="D674" s="146"/>
      <c r="E674" s="146"/>
      <c r="F674" s="146"/>
      <c r="G674" s="146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ht="18.75" customHeight="1">
      <c r="A675" s="146"/>
      <c r="B675" s="146"/>
      <c r="C675" s="146"/>
      <c r="D675" s="146"/>
      <c r="E675" s="146"/>
      <c r="F675" s="146"/>
      <c r="G675" s="146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ht="18.75" customHeight="1">
      <c r="A676" s="146"/>
      <c r="B676" s="146"/>
      <c r="C676" s="146"/>
      <c r="D676" s="146"/>
      <c r="E676" s="146"/>
      <c r="F676" s="146"/>
      <c r="G676" s="146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ht="18.75" customHeight="1">
      <c r="A677" s="146"/>
      <c r="B677" s="146"/>
      <c r="C677" s="146"/>
      <c r="D677" s="146"/>
      <c r="E677" s="146"/>
      <c r="F677" s="146"/>
      <c r="G677" s="146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ht="18.75" customHeight="1">
      <c r="A678" s="146"/>
      <c r="B678" s="146"/>
      <c r="C678" s="146"/>
      <c r="D678" s="146"/>
      <c r="E678" s="146"/>
      <c r="F678" s="146"/>
      <c r="G678" s="146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ht="18.75" customHeight="1">
      <c r="A679" s="146"/>
      <c r="B679" s="146"/>
      <c r="C679" s="146"/>
      <c r="D679" s="146"/>
      <c r="E679" s="146"/>
      <c r="F679" s="146"/>
      <c r="G679" s="146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ht="18.75" customHeight="1">
      <c r="A680" s="146"/>
      <c r="B680" s="146"/>
      <c r="C680" s="146"/>
      <c r="D680" s="146"/>
      <c r="E680" s="146"/>
      <c r="F680" s="146"/>
      <c r="G680" s="146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ht="18.75" customHeight="1">
      <c r="A681" s="146"/>
      <c r="B681" s="146"/>
      <c r="C681" s="146"/>
      <c r="D681" s="146"/>
      <c r="E681" s="146"/>
      <c r="F681" s="146"/>
      <c r="G681" s="146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ht="18.75" customHeight="1">
      <c r="A682" s="146"/>
      <c r="B682" s="146"/>
      <c r="C682" s="146"/>
      <c r="D682" s="146"/>
      <c r="E682" s="146"/>
      <c r="F682" s="146"/>
      <c r="G682" s="146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ht="18.75" customHeight="1">
      <c r="A683" s="146"/>
      <c r="B683" s="146"/>
      <c r="C683" s="146"/>
      <c r="D683" s="146"/>
      <c r="E683" s="146"/>
      <c r="F683" s="146"/>
      <c r="G683" s="146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ht="18.75" customHeight="1">
      <c r="A684" s="146"/>
      <c r="B684" s="146"/>
      <c r="C684" s="146"/>
      <c r="D684" s="146"/>
      <c r="E684" s="146"/>
      <c r="F684" s="146"/>
      <c r="G684" s="146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ht="18.75" customHeight="1">
      <c r="A685" s="146"/>
      <c r="B685" s="146"/>
      <c r="C685" s="146"/>
      <c r="D685" s="146"/>
      <c r="E685" s="146"/>
      <c r="F685" s="146"/>
      <c r="G685" s="146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ht="18.75" customHeight="1">
      <c r="A686" s="146"/>
      <c r="B686" s="146"/>
      <c r="C686" s="146"/>
      <c r="D686" s="146"/>
      <c r="E686" s="146"/>
      <c r="F686" s="146"/>
      <c r="G686" s="146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ht="18.75" customHeight="1">
      <c r="A687" s="146"/>
      <c r="B687" s="146"/>
      <c r="C687" s="146"/>
      <c r="D687" s="146"/>
      <c r="E687" s="146"/>
      <c r="F687" s="146"/>
      <c r="G687" s="146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ht="18.75" customHeight="1">
      <c r="A688" s="146"/>
      <c r="B688" s="146"/>
      <c r="C688" s="146"/>
      <c r="D688" s="146"/>
      <c r="E688" s="146"/>
      <c r="F688" s="146"/>
      <c r="G688" s="146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ht="18.75" customHeight="1">
      <c r="A689" s="146"/>
      <c r="B689" s="146"/>
      <c r="C689" s="146"/>
      <c r="D689" s="146"/>
      <c r="E689" s="146"/>
      <c r="F689" s="146"/>
      <c r="G689" s="146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ht="18.75" customHeight="1">
      <c r="A690" s="146"/>
      <c r="B690" s="146"/>
      <c r="C690" s="146"/>
      <c r="D690" s="146"/>
      <c r="E690" s="146"/>
      <c r="F690" s="146"/>
      <c r="G690" s="146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ht="18.75" customHeight="1">
      <c r="A691" s="146"/>
      <c r="B691" s="146"/>
      <c r="C691" s="146"/>
      <c r="D691" s="146"/>
      <c r="E691" s="146"/>
      <c r="F691" s="146"/>
      <c r="G691" s="146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ht="18.75" customHeight="1">
      <c r="A692" s="146"/>
      <c r="B692" s="146"/>
      <c r="C692" s="146"/>
      <c r="D692" s="146"/>
      <c r="E692" s="146"/>
      <c r="F692" s="146"/>
      <c r="G692" s="146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ht="18.75" customHeight="1">
      <c r="A693" s="146"/>
      <c r="B693" s="146"/>
      <c r="C693" s="146"/>
      <c r="D693" s="146"/>
      <c r="E693" s="146"/>
      <c r="F693" s="146"/>
      <c r="G693" s="146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ht="18.75" customHeight="1">
      <c r="A694" s="146"/>
      <c r="B694" s="146"/>
      <c r="C694" s="146"/>
      <c r="D694" s="146"/>
      <c r="E694" s="146"/>
      <c r="F694" s="146"/>
      <c r="G694" s="146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ht="18.75" customHeight="1">
      <c r="A695" s="146"/>
      <c r="B695" s="146"/>
      <c r="C695" s="146"/>
      <c r="D695" s="146"/>
      <c r="E695" s="146"/>
      <c r="F695" s="146"/>
      <c r="G695" s="146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ht="18.75" customHeight="1">
      <c r="A696" s="146"/>
      <c r="B696" s="146"/>
      <c r="C696" s="146"/>
      <c r="D696" s="146"/>
      <c r="E696" s="146"/>
      <c r="F696" s="146"/>
      <c r="G696" s="146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ht="18.75" customHeight="1">
      <c r="A697" s="146"/>
      <c r="B697" s="146"/>
      <c r="C697" s="146"/>
      <c r="D697" s="146"/>
      <c r="E697" s="146"/>
      <c r="F697" s="146"/>
      <c r="G697" s="146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ht="18.75" customHeight="1">
      <c r="A698" s="146"/>
      <c r="B698" s="146"/>
      <c r="C698" s="146"/>
      <c r="D698" s="146"/>
      <c r="E698" s="146"/>
      <c r="F698" s="146"/>
      <c r="G698" s="146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ht="18.75" customHeight="1">
      <c r="A699" s="146"/>
      <c r="B699" s="146"/>
      <c r="C699" s="146"/>
      <c r="D699" s="146"/>
      <c r="E699" s="146"/>
      <c r="F699" s="146"/>
      <c r="G699" s="146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ht="18.75" customHeight="1">
      <c r="A700" s="146"/>
      <c r="B700" s="146"/>
      <c r="C700" s="146"/>
      <c r="D700" s="146"/>
      <c r="E700" s="146"/>
      <c r="F700" s="146"/>
      <c r="G700" s="146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ht="18.75" customHeight="1">
      <c r="A701" s="146"/>
      <c r="B701" s="146"/>
      <c r="C701" s="146"/>
      <c r="D701" s="146"/>
      <c r="E701" s="146"/>
      <c r="F701" s="146"/>
      <c r="G701" s="146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ht="18.75" customHeight="1">
      <c r="A702" s="146"/>
      <c r="B702" s="146"/>
      <c r="C702" s="146"/>
      <c r="D702" s="146"/>
      <c r="E702" s="146"/>
      <c r="F702" s="146"/>
      <c r="G702" s="146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ht="18.75" customHeight="1">
      <c r="A703" s="146"/>
      <c r="B703" s="146"/>
      <c r="C703" s="146"/>
      <c r="D703" s="146"/>
      <c r="E703" s="146"/>
      <c r="F703" s="146"/>
      <c r="G703" s="146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ht="18.75" customHeight="1">
      <c r="A704" s="146"/>
      <c r="B704" s="146"/>
      <c r="C704" s="146"/>
      <c r="D704" s="146"/>
      <c r="E704" s="146"/>
      <c r="F704" s="146"/>
      <c r="G704" s="146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ht="18.75" customHeight="1">
      <c r="A705" s="146"/>
      <c r="B705" s="146"/>
      <c r="C705" s="146"/>
      <c r="D705" s="146"/>
      <c r="E705" s="146"/>
      <c r="F705" s="146"/>
      <c r="G705" s="146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ht="18.75" customHeight="1">
      <c r="A706" s="146"/>
      <c r="B706" s="146"/>
      <c r="C706" s="146"/>
      <c r="D706" s="146"/>
      <c r="E706" s="146"/>
      <c r="F706" s="146"/>
      <c r="G706" s="146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ht="18.75" customHeight="1">
      <c r="A707" s="146"/>
      <c r="B707" s="146"/>
      <c r="C707" s="146"/>
      <c r="D707" s="146"/>
      <c r="E707" s="146"/>
      <c r="F707" s="146"/>
      <c r="G707" s="146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ht="18.75" customHeight="1">
      <c r="A708" s="146"/>
      <c r="B708" s="146"/>
      <c r="C708" s="146"/>
      <c r="D708" s="146"/>
      <c r="E708" s="146"/>
      <c r="F708" s="146"/>
      <c r="G708" s="146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ht="18.75" customHeight="1">
      <c r="A709" s="146"/>
      <c r="B709" s="146"/>
      <c r="C709" s="146"/>
      <c r="D709" s="146"/>
      <c r="E709" s="146"/>
      <c r="F709" s="146"/>
      <c r="G709" s="146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ht="18.75" customHeight="1">
      <c r="A710" s="146"/>
      <c r="B710" s="146"/>
      <c r="C710" s="146"/>
      <c r="D710" s="146"/>
      <c r="E710" s="146"/>
      <c r="F710" s="146"/>
      <c r="G710" s="146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ht="18.75" customHeight="1">
      <c r="A711" s="146"/>
      <c r="B711" s="146"/>
      <c r="C711" s="146"/>
      <c r="D711" s="146"/>
      <c r="E711" s="146"/>
      <c r="F711" s="146"/>
      <c r="G711" s="146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ht="18.75" customHeight="1">
      <c r="A712" s="146"/>
      <c r="B712" s="146"/>
      <c r="C712" s="146"/>
      <c r="D712" s="146"/>
      <c r="E712" s="146"/>
      <c r="F712" s="146"/>
      <c r="G712" s="146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ht="18.75" customHeight="1">
      <c r="A713" s="146"/>
      <c r="B713" s="146"/>
      <c r="C713" s="146"/>
      <c r="D713" s="146"/>
      <c r="E713" s="146"/>
      <c r="F713" s="146"/>
      <c r="G713" s="146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ht="18.75" customHeight="1">
      <c r="A714" s="146"/>
      <c r="B714" s="146"/>
      <c r="C714" s="146"/>
      <c r="D714" s="146"/>
      <c r="E714" s="146"/>
      <c r="F714" s="146"/>
      <c r="G714" s="146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ht="18.75" customHeight="1">
      <c r="A715" s="146"/>
      <c r="B715" s="146"/>
      <c r="C715" s="146"/>
      <c r="D715" s="146"/>
      <c r="E715" s="146"/>
      <c r="F715" s="146"/>
      <c r="G715" s="146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ht="18.75" customHeight="1">
      <c r="A716" s="146"/>
      <c r="B716" s="146"/>
      <c r="C716" s="146"/>
      <c r="D716" s="146"/>
      <c r="E716" s="146"/>
      <c r="F716" s="146"/>
      <c r="G716" s="146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ht="18.75" customHeight="1">
      <c r="A717" s="146"/>
      <c r="B717" s="146"/>
      <c r="C717" s="146"/>
      <c r="D717" s="146"/>
      <c r="E717" s="146"/>
      <c r="F717" s="146"/>
      <c r="G717" s="146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ht="18.75" customHeight="1">
      <c r="A718" s="146"/>
      <c r="B718" s="146"/>
      <c r="C718" s="146"/>
      <c r="D718" s="146"/>
      <c r="E718" s="146"/>
      <c r="F718" s="146"/>
      <c r="G718" s="146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ht="18.75" customHeight="1">
      <c r="A719" s="146"/>
      <c r="B719" s="146"/>
      <c r="C719" s="146"/>
      <c r="D719" s="146"/>
      <c r="E719" s="146"/>
      <c r="F719" s="146"/>
      <c r="G719" s="146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ht="18.75" customHeight="1">
      <c r="A720" s="146"/>
      <c r="B720" s="146"/>
      <c r="C720" s="146"/>
      <c r="D720" s="146"/>
      <c r="E720" s="146"/>
      <c r="F720" s="146"/>
      <c r="G720" s="146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ht="18.75" customHeight="1">
      <c r="A721" s="146"/>
      <c r="B721" s="146"/>
      <c r="C721" s="146"/>
      <c r="D721" s="146"/>
      <c r="E721" s="146"/>
      <c r="F721" s="146"/>
      <c r="G721" s="146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ht="18.75" customHeight="1">
      <c r="A722" s="146"/>
      <c r="B722" s="146"/>
      <c r="C722" s="146"/>
      <c r="D722" s="146"/>
      <c r="E722" s="146"/>
      <c r="F722" s="146"/>
      <c r="G722" s="146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ht="18.75" customHeight="1">
      <c r="A723" s="146"/>
      <c r="B723" s="146"/>
      <c r="C723" s="146"/>
      <c r="D723" s="146"/>
      <c r="E723" s="146"/>
      <c r="F723" s="146"/>
      <c r="G723" s="146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ht="18.75" customHeight="1">
      <c r="A724" s="146"/>
      <c r="B724" s="146"/>
      <c r="C724" s="146"/>
      <c r="D724" s="146"/>
      <c r="E724" s="146"/>
      <c r="F724" s="146"/>
      <c r="G724" s="146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ht="18.75" customHeight="1">
      <c r="A725" s="146"/>
      <c r="B725" s="146"/>
      <c r="C725" s="146"/>
      <c r="D725" s="146"/>
      <c r="E725" s="146"/>
      <c r="F725" s="146"/>
      <c r="G725" s="146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ht="18.75" customHeight="1">
      <c r="A726" s="146"/>
      <c r="B726" s="146"/>
      <c r="C726" s="146"/>
      <c r="D726" s="146"/>
      <c r="E726" s="146"/>
      <c r="F726" s="146"/>
      <c r="G726" s="146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ht="18.75" customHeight="1">
      <c r="A727" s="146"/>
      <c r="B727" s="146"/>
      <c r="C727" s="146"/>
      <c r="D727" s="146"/>
      <c r="E727" s="146"/>
      <c r="F727" s="146"/>
      <c r="G727" s="146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ht="18.75" customHeight="1">
      <c r="A728" s="146"/>
      <c r="B728" s="146"/>
      <c r="C728" s="146"/>
      <c r="D728" s="146"/>
      <c r="E728" s="146"/>
      <c r="F728" s="146"/>
      <c r="G728" s="146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ht="18.75" customHeight="1">
      <c r="A729" s="146"/>
      <c r="B729" s="146"/>
      <c r="C729" s="146"/>
      <c r="D729" s="146"/>
      <c r="E729" s="146"/>
      <c r="F729" s="146"/>
      <c r="G729" s="146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ht="18.75" customHeight="1">
      <c r="A730" s="146"/>
      <c r="B730" s="146"/>
      <c r="C730" s="146"/>
      <c r="D730" s="146"/>
      <c r="E730" s="146"/>
      <c r="F730" s="146"/>
      <c r="G730" s="146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ht="18.75" customHeight="1">
      <c r="A731" s="146"/>
      <c r="B731" s="146"/>
      <c r="C731" s="146"/>
      <c r="D731" s="146"/>
      <c r="E731" s="146"/>
      <c r="F731" s="146"/>
      <c r="G731" s="146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ht="18.75" customHeight="1">
      <c r="A732" s="146"/>
      <c r="B732" s="146"/>
      <c r="C732" s="146"/>
      <c r="D732" s="146"/>
      <c r="E732" s="146"/>
      <c r="F732" s="146"/>
      <c r="G732" s="146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ht="18.75" customHeight="1">
      <c r="A733" s="146"/>
      <c r="B733" s="146"/>
      <c r="C733" s="146"/>
      <c r="D733" s="146"/>
      <c r="E733" s="146"/>
      <c r="F733" s="146"/>
      <c r="G733" s="146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ht="18.75" customHeight="1">
      <c r="A734" s="146"/>
      <c r="B734" s="146"/>
      <c r="C734" s="146"/>
      <c r="D734" s="146"/>
      <c r="E734" s="146"/>
      <c r="F734" s="146"/>
      <c r="G734" s="146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ht="18.75" customHeight="1">
      <c r="A735" s="146"/>
      <c r="B735" s="146"/>
      <c r="C735" s="146"/>
      <c r="D735" s="146"/>
      <c r="E735" s="146"/>
      <c r="F735" s="146"/>
      <c r="G735" s="146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ht="18.75" customHeight="1">
      <c r="A736" s="146"/>
      <c r="B736" s="146"/>
      <c r="C736" s="146"/>
      <c r="D736" s="146"/>
      <c r="E736" s="146"/>
      <c r="F736" s="146"/>
      <c r="G736" s="146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ht="18.75" customHeight="1">
      <c r="A737" s="146"/>
      <c r="B737" s="146"/>
      <c r="C737" s="146"/>
      <c r="D737" s="146"/>
      <c r="E737" s="146"/>
      <c r="F737" s="146"/>
      <c r="G737" s="146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ht="18.75" customHeight="1">
      <c r="A738" s="146"/>
      <c r="B738" s="146"/>
      <c r="C738" s="146"/>
      <c r="D738" s="146"/>
      <c r="E738" s="146"/>
      <c r="F738" s="146"/>
      <c r="G738" s="146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ht="18.75" customHeight="1">
      <c r="A739" s="146"/>
      <c r="B739" s="146"/>
      <c r="C739" s="146"/>
      <c r="D739" s="146"/>
      <c r="E739" s="146"/>
      <c r="F739" s="146"/>
      <c r="G739" s="146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ht="18.75" customHeight="1">
      <c r="A740" s="146"/>
      <c r="B740" s="146"/>
      <c r="C740" s="146"/>
      <c r="D740" s="146"/>
      <c r="E740" s="146"/>
      <c r="F740" s="146"/>
      <c r="G740" s="146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ht="18.75" customHeight="1">
      <c r="A741" s="146"/>
      <c r="B741" s="146"/>
      <c r="C741" s="146"/>
      <c r="D741" s="146"/>
      <c r="E741" s="146"/>
      <c r="F741" s="146"/>
      <c r="G741" s="146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ht="18.75" customHeight="1">
      <c r="A742" s="146"/>
      <c r="B742" s="146"/>
      <c r="C742" s="146"/>
      <c r="D742" s="146"/>
      <c r="E742" s="146"/>
      <c r="F742" s="146"/>
      <c r="G742" s="146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ht="18.75" customHeight="1">
      <c r="A743" s="146"/>
      <c r="B743" s="146"/>
      <c r="C743" s="146"/>
      <c r="D743" s="146"/>
      <c r="E743" s="146"/>
      <c r="F743" s="146"/>
      <c r="G743" s="146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ht="18.75" customHeight="1">
      <c r="A744" s="146"/>
      <c r="B744" s="146"/>
      <c r="C744" s="146"/>
      <c r="D744" s="146"/>
      <c r="E744" s="146"/>
      <c r="F744" s="146"/>
      <c r="G744" s="146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ht="18.75" customHeight="1">
      <c r="A745" s="146"/>
      <c r="B745" s="146"/>
      <c r="C745" s="146"/>
      <c r="D745" s="146"/>
      <c r="E745" s="146"/>
      <c r="F745" s="146"/>
      <c r="G745" s="146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ht="18.75" customHeight="1">
      <c r="A746" s="146"/>
      <c r="B746" s="146"/>
      <c r="C746" s="146"/>
      <c r="D746" s="146"/>
      <c r="E746" s="146"/>
      <c r="F746" s="146"/>
      <c r="G746" s="146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ht="18.75" customHeight="1">
      <c r="A747" s="146"/>
      <c r="B747" s="146"/>
      <c r="C747" s="146"/>
      <c r="D747" s="146"/>
      <c r="E747" s="146"/>
      <c r="F747" s="146"/>
      <c r="G747" s="146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ht="18.75" customHeight="1">
      <c r="A748" s="146"/>
      <c r="B748" s="146"/>
      <c r="C748" s="146"/>
      <c r="D748" s="146"/>
      <c r="E748" s="146"/>
      <c r="F748" s="146"/>
      <c r="G748" s="146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ht="18.75" customHeight="1">
      <c r="A749" s="146"/>
      <c r="B749" s="146"/>
      <c r="C749" s="146"/>
      <c r="D749" s="146"/>
      <c r="E749" s="146"/>
      <c r="F749" s="146"/>
      <c r="G749" s="146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ht="18.75" customHeight="1">
      <c r="A750" s="146"/>
      <c r="B750" s="146"/>
      <c r="C750" s="146"/>
      <c r="D750" s="146"/>
      <c r="E750" s="146"/>
      <c r="F750" s="146"/>
      <c r="G750" s="146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ht="18.75" customHeight="1">
      <c r="A751" s="146"/>
      <c r="B751" s="146"/>
      <c r="C751" s="146"/>
      <c r="D751" s="146"/>
      <c r="E751" s="146"/>
      <c r="F751" s="146"/>
      <c r="G751" s="146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ht="18.75" customHeight="1">
      <c r="A752" s="146"/>
      <c r="B752" s="146"/>
      <c r="C752" s="146"/>
      <c r="D752" s="146"/>
      <c r="E752" s="146"/>
      <c r="F752" s="146"/>
      <c r="G752" s="146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ht="18.75" customHeight="1">
      <c r="A753" s="146"/>
      <c r="B753" s="146"/>
      <c r="C753" s="146"/>
      <c r="D753" s="146"/>
      <c r="E753" s="146"/>
      <c r="F753" s="146"/>
      <c r="G753" s="146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ht="18.75" customHeight="1">
      <c r="A754" s="146"/>
      <c r="B754" s="146"/>
      <c r="C754" s="146"/>
      <c r="D754" s="146"/>
      <c r="E754" s="146"/>
      <c r="F754" s="146"/>
      <c r="G754" s="146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ht="18.75" customHeight="1">
      <c r="A755" s="146"/>
      <c r="B755" s="146"/>
      <c r="C755" s="146"/>
      <c r="D755" s="146"/>
      <c r="E755" s="146"/>
      <c r="F755" s="146"/>
      <c r="G755" s="146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ht="18.75" customHeight="1">
      <c r="A756" s="146"/>
      <c r="B756" s="146"/>
      <c r="C756" s="146"/>
      <c r="D756" s="146"/>
      <c r="E756" s="146"/>
      <c r="F756" s="146"/>
      <c r="G756" s="146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ht="18.75" customHeight="1">
      <c r="A757" s="146"/>
      <c r="B757" s="146"/>
      <c r="C757" s="146"/>
      <c r="D757" s="146"/>
      <c r="E757" s="146"/>
      <c r="F757" s="146"/>
      <c r="G757" s="146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ht="18.75" customHeight="1">
      <c r="A758" s="146"/>
      <c r="B758" s="146"/>
      <c r="C758" s="146"/>
      <c r="D758" s="146"/>
      <c r="E758" s="146"/>
      <c r="F758" s="146"/>
      <c r="G758" s="146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ht="18.75" customHeight="1">
      <c r="A759" s="146"/>
      <c r="B759" s="146"/>
      <c r="C759" s="146"/>
      <c r="D759" s="146"/>
      <c r="E759" s="146"/>
      <c r="F759" s="146"/>
      <c r="G759" s="146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ht="18.75" customHeight="1">
      <c r="A760" s="146"/>
      <c r="B760" s="146"/>
      <c r="C760" s="146"/>
      <c r="D760" s="146"/>
      <c r="E760" s="146"/>
      <c r="F760" s="146"/>
      <c r="G760" s="146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ht="18.75" customHeight="1">
      <c r="A761" s="146"/>
      <c r="B761" s="146"/>
      <c r="C761" s="146"/>
      <c r="D761" s="146"/>
      <c r="E761" s="146"/>
      <c r="F761" s="146"/>
      <c r="G761" s="146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ht="18.75" customHeight="1">
      <c r="A762" s="146"/>
      <c r="B762" s="146"/>
      <c r="C762" s="146"/>
      <c r="D762" s="146"/>
      <c r="E762" s="146"/>
      <c r="F762" s="146"/>
      <c r="G762" s="146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ht="18.75" customHeight="1">
      <c r="A763" s="146"/>
      <c r="B763" s="146"/>
      <c r="C763" s="146"/>
      <c r="D763" s="146"/>
      <c r="E763" s="146"/>
      <c r="F763" s="146"/>
      <c r="G763" s="146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ht="18.75" customHeight="1">
      <c r="A764" s="146"/>
      <c r="B764" s="146"/>
      <c r="C764" s="146"/>
      <c r="D764" s="146"/>
      <c r="E764" s="146"/>
      <c r="F764" s="146"/>
      <c r="G764" s="146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ht="18.75" customHeight="1">
      <c r="A765" s="146"/>
      <c r="B765" s="146"/>
      <c r="C765" s="146"/>
      <c r="D765" s="146"/>
      <c r="E765" s="146"/>
      <c r="F765" s="146"/>
      <c r="G765" s="146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ht="18.75" customHeight="1">
      <c r="A766" s="146"/>
      <c r="B766" s="146"/>
      <c r="C766" s="146"/>
      <c r="D766" s="146"/>
      <c r="E766" s="146"/>
      <c r="F766" s="146"/>
      <c r="G766" s="146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ht="18.75" customHeight="1">
      <c r="A767" s="146"/>
      <c r="B767" s="146"/>
      <c r="C767" s="146"/>
      <c r="D767" s="146"/>
      <c r="E767" s="146"/>
      <c r="F767" s="146"/>
      <c r="G767" s="146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ht="18.75" customHeight="1">
      <c r="A768" s="146"/>
      <c r="B768" s="146"/>
      <c r="C768" s="146"/>
      <c r="D768" s="146"/>
      <c r="E768" s="146"/>
      <c r="F768" s="146"/>
      <c r="G768" s="146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ht="18.75" customHeight="1">
      <c r="A769" s="146"/>
      <c r="B769" s="146"/>
      <c r="C769" s="146"/>
      <c r="D769" s="146"/>
      <c r="E769" s="146"/>
      <c r="F769" s="146"/>
      <c r="G769" s="146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ht="18.75" customHeight="1">
      <c r="A770" s="146"/>
      <c r="B770" s="146"/>
      <c r="C770" s="146"/>
      <c r="D770" s="146"/>
      <c r="E770" s="146"/>
      <c r="F770" s="146"/>
      <c r="G770" s="146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ht="18.75" customHeight="1">
      <c r="A771" s="146"/>
      <c r="B771" s="146"/>
      <c r="C771" s="146"/>
      <c r="D771" s="146"/>
      <c r="E771" s="146"/>
      <c r="F771" s="146"/>
      <c r="G771" s="146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ht="18.75" customHeight="1">
      <c r="A772" s="146"/>
      <c r="B772" s="146"/>
      <c r="C772" s="146"/>
      <c r="D772" s="146"/>
      <c r="E772" s="146"/>
      <c r="F772" s="146"/>
      <c r="G772" s="146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ht="18.75" customHeight="1">
      <c r="A773" s="146"/>
      <c r="B773" s="146"/>
      <c r="C773" s="146"/>
      <c r="D773" s="146"/>
      <c r="E773" s="146"/>
      <c r="F773" s="146"/>
      <c r="G773" s="146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ht="18.75" customHeight="1">
      <c r="A774" s="146"/>
      <c r="B774" s="146"/>
      <c r="C774" s="146"/>
      <c r="D774" s="146"/>
      <c r="E774" s="146"/>
      <c r="F774" s="146"/>
      <c r="G774" s="146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ht="18.75" customHeight="1">
      <c r="A775" s="146"/>
      <c r="B775" s="146"/>
      <c r="C775" s="146"/>
      <c r="D775" s="146"/>
      <c r="E775" s="146"/>
      <c r="F775" s="146"/>
      <c r="G775" s="146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ht="18.75" customHeight="1">
      <c r="A776" s="146"/>
      <c r="B776" s="146"/>
      <c r="C776" s="146"/>
      <c r="D776" s="146"/>
      <c r="E776" s="146"/>
      <c r="F776" s="146"/>
      <c r="G776" s="146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ht="18.75" customHeight="1">
      <c r="A777" s="146"/>
      <c r="B777" s="146"/>
      <c r="C777" s="146"/>
      <c r="D777" s="146"/>
      <c r="E777" s="146"/>
      <c r="F777" s="146"/>
      <c r="G777" s="146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ht="18.75" customHeight="1">
      <c r="A778" s="146"/>
      <c r="B778" s="146"/>
      <c r="C778" s="146"/>
      <c r="D778" s="146"/>
      <c r="E778" s="146"/>
      <c r="F778" s="146"/>
      <c r="G778" s="146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ht="18.75" customHeight="1">
      <c r="A779" s="146"/>
      <c r="B779" s="146"/>
      <c r="C779" s="146"/>
      <c r="D779" s="146"/>
      <c r="E779" s="146"/>
      <c r="F779" s="146"/>
      <c r="G779" s="146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ht="18.75" customHeight="1">
      <c r="A780" s="146"/>
      <c r="B780" s="146"/>
      <c r="C780" s="146"/>
      <c r="D780" s="146"/>
      <c r="E780" s="146"/>
      <c r="F780" s="146"/>
      <c r="G780" s="146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ht="18.75" customHeight="1">
      <c r="A781" s="146"/>
      <c r="B781" s="146"/>
      <c r="C781" s="146"/>
      <c r="D781" s="146"/>
      <c r="E781" s="146"/>
      <c r="F781" s="146"/>
      <c r="G781" s="146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ht="18.75" customHeight="1">
      <c r="A782" s="146"/>
      <c r="B782" s="146"/>
      <c r="C782" s="146"/>
      <c r="D782" s="146"/>
      <c r="E782" s="146"/>
      <c r="F782" s="146"/>
      <c r="G782" s="146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ht="18.75" customHeight="1">
      <c r="A783" s="146"/>
      <c r="B783" s="146"/>
      <c r="C783" s="146"/>
      <c r="D783" s="146"/>
      <c r="E783" s="146"/>
      <c r="F783" s="146"/>
      <c r="G783" s="146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ht="18.75" customHeight="1">
      <c r="A784" s="146"/>
      <c r="B784" s="146"/>
      <c r="C784" s="146"/>
      <c r="D784" s="146"/>
      <c r="E784" s="146"/>
      <c r="F784" s="146"/>
      <c r="G784" s="146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ht="18.75" customHeight="1">
      <c r="A785" s="146"/>
      <c r="B785" s="146"/>
      <c r="C785" s="146"/>
      <c r="D785" s="146"/>
      <c r="E785" s="146"/>
      <c r="F785" s="146"/>
      <c r="G785" s="146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ht="18.75" customHeight="1">
      <c r="A786" s="146"/>
      <c r="B786" s="146"/>
      <c r="C786" s="146"/>
      <c r="D786" s="146"/>
      <c r="E786" s="146"/>
      <c r="F786" s="146"/>
      <c r="G786" s="146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ht="18.75" customHeight="1">
      <c r="A787" s="146"/>
      <c r="B787" s="146"/>
      <c r="C787" s="146"/>
      <c r="D787" s="146"/>
      <c r="E787" s="146"/>
      <c r="F787" s="146"/>
      <c r="G787" s="146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ht="18.75" customHeight="1">
      <c r="A788" s="146"/>
      <c r="B788" s="146"/>
      <c r="C788" s="146"/>
      <c r="D788" s="146"/>
      <c r="E788" s="146"/>
      <c r="F788" s="146"/>
      <c r="G788" s="146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ht="18.75" customHeight="1">
      <c r="A789" s="146"/>
      <c r="B789" s="146"/>
      <c r="C789" s="146"/>
      <c r="D789" s="146"/>
      <c r="E789" s="146"/>
      <c r="F789" s="146"/>
      <c r="G789" s="146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ht="18.75" customHeight="1">
      <c r="A790" s="146"/>
      <c r="B790" s="146"/>
      <c r="C790" s="146"/>
      <c r="D790" s="146"/>
      <c r="E790" s="146"/>
      <c r="F790" s="146"/>
      <c r="G790" s="146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ht="18.75" customHeight="1">
      <c r="A791" s="146"/>
      <c r="B791" s="146"/>
      <c r="C791" s="146"/>
      <c r="D791" s="146"/>
      <c r="E791" s="146"/>
      <c r="F791" s="146"/>
      <c r="G791" s="146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ht="18.75" customHeight="1">
      <c r="A792" s="146"/>
      <c r="B792" s="146"/>
      <c r="C792" s="146"/>
      <c r="D792" s="146"/>
      <c r="E792" s="146"/>
      <c r="F792" s="146"/>
      <c r="G792" s="146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ht="18.75" customHeight="1">
      <c r="A793" s="146"/>
      <c r="B793" s="146"/>
      <c r="C793" s="146"/>
      <c r="D793" s="146"/>
      <c r="E793" s="146"/>
      <c r="F793" s="146"/>
      <c r="G793" s="146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ht="18.75" customHeight="1">
      <c r="A794" s="146"/>
      <c r="B794" s="146"/>
      <c r="C794" s="146"/>
      <c r="D794" s="146"/>
      <c r="E794" s="146"/>
      <c r="F794" s="146"/>
      <c r="G794" s="146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ht="18.75" customHeight="1">
      <c r="A795" s="146"/>
      <c r="B795" s="146"/>
      <c r="C795" s="146"/>
      <c r="D795" s="146"/>
      <c r="E795" s="146"/>
      <c r="F795" s="146"/>
      <c r="G795" s="146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ht="18.75" customHeight="1">
      <c r="A796" s="146"/>
      <c r="B796" s="146"/>
      <c r="C796" s="146"/>
      <c r="D796" s="146"/>
      <c r="E796" s="146"/>
      <c r="F796" s="146"/>
      <c r="G796" s="146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ht="18.75" customHeight="1">
      <c r="A797" s="146"/>
      <c r="B797" s="146"/>
      <c r="C797" s="146"/>
      <c r="D797" s="146"/>
      <c r="E797" s="146"/>
      <c r="F797" s="146"/>
      <c r="G797" s="146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ht="18.75" customHeight="1">
      <c r="A798" s="146"/>
      <c r="B798" s="146"/>
      <c r="C798" s="146"/>
      <c r="D798" s="146"/>
      <c r="E798" s="146"/>
      <c r="F798" s="146"/>
      <c r="G798" s="146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ht="18.75" customHeight="1">
      <c r="A799" s="146"/>
      <c r="B799" s="146"/>
      <c r="C799" s="146"/>
      <c r="D799" s="146"/>
      <c r="E799" s="146"/>
      <c r="F799" s="146"/>
      <c r="G799" s="146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ht="18.75" customHeight="1">
      <c r="A800" s="146"/>
      <c r="B800" s="146"/>
      <c r="C800" s="146"/>
      <c r="D800" s="146"/>
      <c r="E800" s="146"/>
      <c r="F800" s="146"/>
      <c r="G800" s="146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ht="18.75" customHeight="1">
      <c r="A801" s="146"/>
      <c r="B801" s="146"/>
      <c r="C801" s="146"/>
      <c r="D801" s="146"/>
      <c r="E801" s="146"/>
      <c r="F801" s="146"/>
      <c r="G801" s="146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ht="18.75" customHeight="1">
      <c r="A802" s="146"/>
      <c r="B802" s="146"/>
      <c r="C802" s="146"/>
      <c r="D802" s="146"/>
      <c r="E802" s="146"/>
      <c r="F802" s="146"/>
      <c r="G802" s="146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ht="18.75" customHeight="1">
      <c r="A803" s="146"/>
      <c r="B803" s="146"/>
      <c r="C803" s="146"/>
      <c r="D803" s="146"/>
      <c r="E803" s="146"/>
      <c r="F803" s="146"/>
      <c r="G803" s="146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ht="18.75" customHeight="1">
      <c r="A804" s="146"/>
      <c r="B804" s="146"/>
      <c r="C804" s="146"/>
      <c r="D804" s="146"/>
      <c r="E804" s="146"/>
      <c r="F804" s="146"/>
      <c r="G804" s="146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ht="18.75" customHeight="1">
      <c r="A805" s="146"/>
      <c r="B805" s="146"/>
      <c r="C805" s="146"/>
      <c r="D805" s="146"/>
      <c r="E805" s="146"/>
      <c r="F805" s="146"/>
      <c r="G805" s="146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ht="18.75" customHeight="1">
      <c r="A806" s="146"/>
      <c r="B806" s="146"/>
      <c r="C806" s="146"/>
      <c r="D806" s="146"/>
      <c r="E806" s="146"/>
      <c r="F806" s="146"/>
      <c r="G806" s="146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ht="18.75" customHeight="1">
      <c r="A807" s="146"/>
      <c r="B807" s="146"/>
      <c r="C807" s="146"/>
      <c r="D807" s="146"/>
      <c r="E807" s="146"/>
      <c r="F807" s="146"/>
      <c r="G807" s="146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ht="18.75" customHeight="1">
      <c r="A808" s="146"/>
      <c r="B808" s="146"/>
      <c r="C808" s="146"/>
      <c r="D808" s="146"/>
      <c r="E808" s="146"/>
      <c r="F808" s="146"/>
      <c r="G808" s="146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ht="18.75" customHeight="1">
      <c r="A809" s="146"/>
      <c r="B809" s="146"/>
      <c r="C809" s="146"/>
      <c r="D809" s="146"/>
      <c r="E809" s="146"/>
      <c r="F809" s="146"/>
      <c r="G809" s="146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ht="18.75" customHeight="1">
      <c r="A810" s="146"/>
      <c r="B810" s="146"/>
      <c r="C810" s="146"/>
      <c r="D810" s="146"/>
      <c r="E810" s="146"/>
      <c r="F810" s="146"/>
      <c r="G810" s="146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ht="18.75" customHeight="1">
      <c r="A811" s="146"/>
      <c r="B811" s="146"/>
      <c r="C811" s="146"/>
      <c r="D811" s="146"/>
      <c r="E811" s="146"/>
      <c r="F811" s="146"/>
      <c r="G811" s="146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ht="18.75" customHeight="1">
      <c r="A812" s="146"/>
      <c r="B812" s="146"/>
      <c r="C812" s="146"/>
      <c r="D812" s="146"/>
      <c r="E812" s="146"/>
      <c r="F812" s="146"/>
      <c r="G812" s="146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ht="18.75" customHeight="1">
      <c r="A813" s="146"/>
      <c r="B813" s="146"/>
      <c r="C813" s="146"/>
      <c r="D813" s="146"/>
      <c r="E813" s="146"/>
      <c r="F813" s="146"/>
      <c r="G813" s="146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ht="18.75" customHeight="1">
      <c r="A814" s="146"/>
      <c r="B814" s="146"/>
      <c r="C814" s="146"/>
      <c r="D814" s="146"/>
      <c r="E814" s="146"/>
      <c r="F814" s="146"/>
      <c r="G814" s="146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ht="18.75" customHeight="1">
      <c r="A815" s="146"/>
      <c r="B815" s="146"/>
      <c r="C815" s="146"/>
      <c r="D815" s="146"/>
      <c r="E815" s="146"/>
      <c r="F815" s="146"/>
      <c r="G815" s="146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ht="18.75" customHeight="1">
      <c r="A816" s="146"/>
      <c r="B816" s="146"/>
      <c r="C816" s="146"/>
      <c r="D816" s="146"/>
      <c r="E816" s="146"/>
      <c r="F816" s="146"/>
      <c r="G816" s="146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ht="18.75" customHeight="1">
      <c r="A817" s="146"/>
      <c r="B817" s="146"/>
      <c r="C817" s="146"/>
      <c r="D817" s="146"/>
      <c r="E817" s="146"/>
      <c r="F817" s="146"/>
      <c r="G817" s="146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ht="18.75" customHeight="1">
      <c r="A818" s="146"/>
      <c r="B818" s="146"/>
      <c r="C818" s="146"/>
      <c r="D818" s="146"/>
      <c r="E818" s="146"/>
      <c r="F818" s="146"/>
      <c r="G818" s="146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ht="18.75" customHeight="1">
      <c r="A819" s="146"/>
      <c r="B819" s="146"/>
      <c r="C819" s="146"/>
      <c r="D819" s="146"/>
      <c r="E819" s="146"/>
      <c r="F819" s="146"/>
      <c r="G819" s="146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ht="18.75" customHeight="1">
      <c r="A820" s="146"/>
      <c r="B820" s="146"/>
      <c r="C820" s="146"/>
      <c r="D820" s="146"/>
      <c r="E820" s="146"/>
      <c r="F820" s="146"/>
      <c r="G820" s="146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ht="18.75" customHeight="1">
      <c r="A821" s="146"/>
      <c r="B821" s="146"/>
      <c r="C821" s="146"/>
      <c r="D821" s="146"/>
      <c r="E821" s="146"/>
      <c r="F821" s="146"/>
      <c r="G821" s="146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ht="18.75" customHeight="1">
      <c r="A822" s="146"/>
      <c r="B822" s="146"/>
      <c r="C822" s="146"/>
      <c r="D822" s="146"/>
      <c r="E822" s="146"/>
      <c r="F822" s="146"/>
      <c r="G822" s="146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ht="18.75" customHeight="1">
      <c r="A823" s="146"/>
      <c r="B823" s="146"/>
      <c r="C823" s="146"/>
      <c r="D823" s="146"/>
      <c r="E823" s="146"/>
      <c r="F823" s="146"/>
      <c r="G823" s="146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ht="18.75" customHeight="1">
      <c r="A824" s="146"/>
      <c r="B824" s="146"/>
      <c r="C824" s="146"/>
      <c r="D824" s="146"/>
      <c r="E824" s="146"/>
      <c r="F824" s="146"/>
      <c r="G824" s="146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ht="18.75" customHeight="1">
      <c r="A825" s="146"/>
      <c r="B825" s="146"/>
      <c r="C825" s="146"/>
      <c r="D825" s="146"/>
      <c r="E825" s="146"/>
      <c r="F825" s="146"/>
      <c r="G825" s="146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ht="18.75" customHeight="1">
      <c r="A826" s="146"/>
      <c r="B826" s="146"/>
      <c r="C826" s="146"/>
      <c r="D826" s="146"/>
      <c r="E826" s="146"/>
      <c r="F826" s="146"/>
      <c r="G826" s="146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ht="18.75" customHeight="1">
      <c r="A827" s="146"/>
      <c r="B827" s="146"/>
      <c r="C827" s="146"/>
      <c r="D827" s="146"/>
      <c r="E827" s="146"/>
      <c r="F827" s="146"/>
      <c r="G827" s="146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ht="18.75" customHeight="1">
      <c r="A828" s="146"/>
      <c r="B828" s="146"/>
      <c r="C828" s="146"/>
      <c r="D828" s="146"/>
      <c r="E828" s="146"/>
      <c r="F828" s="146"/>
      <c r="G828" s="146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ht="18.75" customHeight="1">
      <c r="A829" s="146"/>
      <c r="B829" s="146"/>
      <c r="C829" s="146"/>
      <c r="D829" s="146"/>
      <c r="E829" s="146"/>
      <c r="F829" s="146"/>
      <c r="G829" s="146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ht="18.75" customHeight="1">
      <c r="A830" s="146"/>
      <c r="B830" s="146"/>
      <c r="C830" s="146"/>
      <c r="D830" s="146"/>
      <c r="E830" s="146"/>
      <c r="F830" s="146"/>
      <c r="G830" s="146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ht="18.75" customHeight="1">
      <c r="A831" s="146"/>
      <c r="B831" s="146"/>
      <c r="C831" s="146"/>
      <c r="D831" s="146"/>
      <c r="E831" s="146"/>
      <c r="F831" s="146"/>
      <c r="G831" s="146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ht="18.75" customHeight="1">
      <c r="A832" s="146"/>
      <c r="B832" s="146"/>
      <c r="C832" s="146"/>
      <c r="D832" s="146"/>
      <c r="E832" s="146"/>
      <c r="F832" s="146"/>
      <c r="G832" s="146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ht="18.75" customHeight="1">
      <c r="A833" s="146"/>
      <c r="B833" s="146"/>
      <c r="C833" s="146"/>
      <c r="D833" s="146"/>
      <c r="E833" s="146"/>
      <c r="F833" s="146"/>
      <c r="G833" s="146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ht="18.75" customHeight="1">
      <c r="A834" s="146"/>
      <c r="B834" s="146"/>
      <c r="C834" s="146"/>
      <c r="D834" s="146"/>
      <c r="E834" s="146"/>
      <c r="F834" s="146"/>
      <c r="G834" s="146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ht="18.75" customHeight="1">
      <c r="A835" s="146"/>
      <c r="B835" s="146"/>
      <c r="C835" s="146"/>
      <c r="D835" s="146"/>
      <c r="E835" s="146"/>
      <c r="F835" s="146"/>
      <c r="G835" s="146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ht="18.75" customHeight="1">
      <c r="A836" s="146"/>
      <c r="B836" s="146"/>
      <c r="C836" s="146"/>
      <c r="D836" s="146"/>
      <c r="E836" s="146"/>
      <c r="F836" s="146"/>
      <c r="G836" s="146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ht="18.75" customHeight="1">
      <c r="A837" s="146"/>
      <c r="B837" s="146"/>
      <c r="C837" s="146"/>
      <c r="D837" s="146"/>
      <c r="E837" s="146"/>
      <c r="F837" s="146"/>
      <c r="G837" s="146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ht="18.75" customHeight="1">
      <c r="A838" s="146"/>
      <c r="B838" s="146"/>
      <c r="C838" s="146"/>
      <c r="D838" s="146"/>
      <c r="E838" s="146"/>
      <c r="F838" s="146"/>
      <c r="G838" s="146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ht="18.75" customHeight="1">
      <c r="A839" s="146"/>
      <c r="B839" s="146"/>
      <c r="C839" s="146"/>
      <c r="D839" s="146"/>
      <c r="E839" s="146"/>
      <c r="F839" s="146"/>
      <c r="G839" s="146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ht="18.75" customHeight="1">
      <c r="A840" s="146"/>
      <c r="B840" s="146"/>
      <c r="C840" s="146"/>
      <c r="D840" s="146"/>
      <c r="E840" s="146"/>
      <c r="F840" s="146"/>
      <c r="G840" s="146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ht="18.75" customHeight="1">
      <c r="A841" s="146"/>
      <c r="B841" s="146"/>
      <c r="C841" s="146"/>
      <c r="D841" s="146"/>
      <c r="E841" s="146"/>
      <c r="F841" s="146"/>
      <c r="G841" s="146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ht="18.75" customHeight="1">
      <c r="A842" s="146"/>
      <c r="B842" s="146"/>
      <c r="C842" s="146"/>
      <c r="D842" s="146"/>
      <c r="E842" s="146"/>
      <c r="F842" s="146"/>
      <c r="G842" s="146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ht="18.75" customHeight="1">
      <c r="A843" s="146"/>
      <c r="B843" s="146"/>
      <c r="C843" s="146"/>
      <c r="D843" s="146"/>
      <c r="E843" s="146"/>
      <c r="F843" s="146"/>
      <c r="G843" s="146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ht="18.75" customHeight="1">
      <c r="A844" s="146"/>
      <c r="B844" s="146"/>
      <c r="C844" s="146"/>
      <c r="D844" s="146"/>
      <c r="E844" s="146"/>
      <c r="F844" s="146"/>
      <c r="G844" s="146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ht="18.75" customHeight="1">
      <c r="A845" s="146"/>
      <c r="B845" s="146"/>
      <c r="C845" s="146"/>
      <c r="D845" s="146"/>
      <c r="E845" s="146"/>
      <c r="F845" s="146"/>
      <c r="G845" s="146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ht="18.75" customHeight="1">
      <c r="A846" s="146"/>
      <c r="B846" s="146"/>
      <c r="C846" s="146"/>
      <c r="D846" s="146"/>
      <c r="E846" s="146"/>
      <c r="F846" s="146"/>
      <c r="G846" s="146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ht="18.75" customHeight="1">
      <c r="A847" s="146"/>
      <c r="B847" s="146"/>
      <c r="C847" s="146"/>
      <c r="D847" s="146"/>
      <c r="E847" s="146"/>
      <c r="F847" s="146"/>
      <c r="G847" s="146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ht="18.75" customHeight="1">
      <c r="A848" s="146"/>
      <c r="B848" s="146"/>
      <c r="C848" s="146"/>
      <c r="D848" s="146"/>
      <c r="E848" s="146"/>
      <c r="F848" s="146"/>
      <c r="G848" s="146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ht="18.75" customHeight="1">
      <c r="A849" s="146"/>
      <c r="B849" s="146"/>
      <c r="C849" s="146"/>
      <c r="D849" s="146"/>
      <c r="E849" s="146"/>
      <c r="F849" s="146"/>
      <c r="G849" s="146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ht="18.75" customHeight="1">
      <c r="A850" s="146"/>
      <c r="B850" s="146"/>
      <c r="C850" s="146"/>
      <c r="D850" s="146"/>
      <c r="E850" s="146"/>
      <c r="F850" s="146"/>
      <c r="G850" s="146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ht="18.75" customHeight="1">
      <c r="A851" s="146"/>
      <c r="B851" s="146"/>
      <c r="C851" s="146"/>
      <c r="D851" s="146"/>
      <c r="E851" s="146"/>
      <c r="F851" s="146"/>
      <c r="G851" s="146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ht="18.75" customHeight="1">
      <c r="A852" s="146"/>
      <c r="B852" s="146"/>
      <c r="C852" s="146"/>
      <c r="D852" s="146"/>
      <c r="E852" s="146"/>
      <c r="F852" s="146"/>
      <c r="G852" s="146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ht="18.75" customHeight="1">
      <c r="A853" s="146"/>
      <c r="B853" s="146"/>
      <c r="C853" s="146"/>
      <c r="D853" s="146"/>
      <c r="E853" s="146"/>
      <c r="F853" s="146"/>
      <c r="G853" s="146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ht="18.75" customHeight="1">
      <c r="A854" s="146"/>
      <c r="B854" s="146"/>
      <c r="C854" s="146"/>
      <c r="D854" s="146"/>
      <c r="E854" s="146"/>
      <c r="F854" s="146"/>
      <c r="G854" s="146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ht="18.75" customHeight="1">
      <c r="A855" s="146"/>
      <c r="B855" s="146"/>
      <c r="C855" s="146"/>
      <c r="D855" s="146"/>
      <c r="E855" s="146"/>
      <c r="F855" s="146"/>
      <c r="G855" s="146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ht="18.75" customHeight="1">
      <c r="A856" s="146"/>
      <c r="B856" s="146"/>
      <c r="C856" s="146"/>
      <c r="D856" s="146"/>
      <c r="E856" s="146"/>
      <c r="F856" s="146"/>
      <c r="G856" s="146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ht="18.75" customHeight="1">
      <c r="A857" s="146"/>
      <c r="B857" s="146"/>
      <c r="C857" s="146"/>
      <c r="D857" s="146"/>
      <c r="E857" s="146"/>
      <c r="F857" s="146"/>
      <c r="G857" s="146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ht="18.75" customHeight="1">
      <c r="A858" s="146"/>
      <c r="B858" s="146"/>
      <c r="C858" s="146"/>
      <c r="D858" s="146"/>
      <c r="E858" s="146"/>
      <c r="F858" s="146"/>
      <c r="G858" s="146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ht="18.75" customHeight="1">
      <c r="A859" s="146"/>
      <c r="B859" s="146"/>
      <c r="C859" s="146"/>
      <c r="D859" s="146"/>
      <c r="E859" s="146"/>
      <c r="F859" s="146"/>
      <c r="G859" s="146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ht="18.75" customHeight="1">
      <c r="A860" s="146"/>
      <c r="B860" s="146"/>
      <c r="C860" s="146"/>
      <c r="D860" s="146"/>
      <c r="E860" s="146"/>
      <c r="F860" s="146"/>
      <c r="G860" s="146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ht="18.75" customHeight="1">
      <c r="A861" s="146"/>
      <c r="B861" s="146"/>
      <c r="C861" s="146"/>
      <c r="D861" s="146"/>
      <c r="E861" s="146"/>
      <c r="F861" s="146"/>
      <c r="G861" s="146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ht="18.75" customHeight="1">
      <c r="A862" s="146"/>
      <c r="B862" s="146"/>
      <c r="C862" s="146"/>
      <c r="D862" s="146"/>
      <c r="E862" s="146"/>
      <c r="F862" s="146"/>
      <c r="G862" s="146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ht="18.75" customHeight="1">
      <c r="A863" s="146"/>
      <c r="B863" s="146"/>
      <c r="C863" s="146"/>
      <c r="D863" s="146"/>
      <c r="E863" s="146"/>
      <c r="F863" s="146"/>
      <c r="G863" s="146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ht="18.75" customHeight="1">
      <c r="A864" s="146"/>
      <c r="B864" s="146"/>
      <c r="C864" s="146"/>
      <c r="D864" s="146"/>
      <c r="E864" s="146"/>
      <c r="F864" s="146"/>
      <c r="G864" s="146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ht="18.75" customHeight="1">
      <c r="A865" s="146"/>
      <c r="B865" s="146"/>
      <c r="C865" s="146"/>
      <c r="D865" s="146"/>
      <c r="E865" s="146"/>
      <c r="F865" s="146"/>
      <c r="G865" s="146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ht="18.75" customHeight="1">
      <c r="A866" s="146"/>
      <c r="B866" s="146"/>
      <c r="C866" s="146"/>
      <c r="D866" s="146"/>
      <c r="E866" s="146"/>
      <c r="F866" s="146"/>
      <c r="G866" s="146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ht="18.75" customHeight="1">
      <c r="A867" s="146"/>
      <c r="B867" s="146"/>
      <c r="C867" s="146"/>
      <c r="D867" s="146"/>
      <c r="E867" s="146"/>
      <c r="F867" s="146"/>
      <c r="G867" s="146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ht="18.75" customHeight="1">
      <c r="A868" s="146"/>
      <c r="B868" s="146"/>
      <c r="C868" s="146"/>
      <c r="D868" s="146"/>
      <c r="E868" s="146"/>
      <c r="F868" s="146"/>
      <c r="G868" s="146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ht="18.75" customHeight="1">
      <c r="A869" s="146"/>
      <c r="B869" s="146"/>
      <c r="C869" s="146"/>
      <c r="D869" s="146"/>
      <c r="E869" s="146"/>
      <c r="F869" s="146"/>
      <c r="G869" s="146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ht="18.75" customHeight="1">
      <c r="A870" s="146"/>
      <c r="B870" s="146"/>
      <c r="C870" s="146"/>
      <c r="D870" s="146"/>
      <c r="E870" s="146"/>
      <c r="F870" s="146"/>
      <c r="G870" s="146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ht="18.75" customHeight="1">
      <c r="A871" s="146"/>
      <c r="B871" s="146"/>
      <c r="C871" s="146"/>
      <c r="D871" s="146"/>
      <c r="E871" s="146"/>
      <c r="F871" s="146"/>
      <c r="G871" s="146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ht="18.75" customHeight="1">
      <c r="A872" s="146"/>
      <c r="B872" s="146"/>
      <c r="C872" s="146"/>
      <c r="D872" s="146"/>
      <c r="E872" s="146"/>
      <c r="F872" s="146"/>
      <c r="G872" s="146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ht="18.75" customHeight="1">
      <c r="A873" s="146"/>
      <c r="B873" s="146"/>
      <c r="C873" s="146"/>
      <c r="D873" s="146"/>
      <c r="E873" s="146"/>
      <c r="F873" s="146"/>
      <c r="G873" s="146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ht="18.75" customHeight="1">
      <c r="A874" s="146"/>
      <c r="B874" s="146"/>
      <c r="C874" s="146"/>
      <c r="D874" s="146"/>
      <c r="E874" s="146"/>
      <c r="F874" s="146"/>
      <c r="G874" s="146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ht="18.75" customHeight="1">
      <c r="A875" s="146"/>
      <c r="B875" s="146"/>
      <c r="C875" s="146"/>
      <c r="D875" s="146"/>
      <c r="E875" s="146"/>
      <c r="F875" s="146"/>
      <c r="G875" s="146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ht="18.75" customHeight="1">
      <c r="A876" s="146"/>
      <c r="B876" s="146"/>
      <c r="C876" s="146"/>
      <c r="D876" s="146"/>
      <c r="E876" s="146"/>
      <c r="F876" s="146"/>
      <c r="G876" s="146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ht="18.75" customHeight="1">
      <c r="A877" s="146"/>
      <c r="B877" s="146"/>
      <c r="C877" s="146"/>
      <c r="D877" s="146"/>
      <c r="E877" s="146"/>
      <c r="F877" s="146"/>
      <c r="G877" s="146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ht="18.75" customHeight="1">
      <c r="A878" s="146"/>
      <c r="B878" s="146"/>
      <c r="C878" s="146"/>
      <c r="D878" s="146"/>
      <c r="E878" s="146"/>
      <c r="F878" s="146"/>
      <c r="G878" s="146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ht="18.75" customHeight="1">
      <c r="A879" s="146"/>
      <c r="B879" s="146"/>
      <c r="C879" s="146"/>
      <c r="D879" s="146"/>
      <c r="E879" s="146"/>
      <c r="F879" s="146"/>
      <c r="G879" s="146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ht="18.75" customHeight="1">
      <c r="A880" s="146"/>
      <c r="B880" s="146"/>
      <c r="C880" s="146"/>
      <c r="D880" s="146"/>
      <c r="E880" s="146"/>
      <c r="F880" s="146"/>
      <c r="G880" s="146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ht="18.75" customHeight="1">
      <c r="A881" s="146"/>
      <c r="B881" s="146"/>
      <c r="C881" s="146"/>
      <c r="D881" s="146"/>
      <c r="E881" s="146"/>
      <c r="F881" s="146"/>
      <c r="G881" s="146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ht="18.75" customHeight="1">
      <c r="A882" s="146"/>
      <c r="B882" s="146"/>
      <c r="C882" s="146"/>
      <c r="D882" s="146"/>
      <c r="E882" s="146"/>
      <c r="F882" s="146"/>
      <c r="G882" s="146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ht="18.75" customHeight="1">
      <c r="A883" s="146"/>
      <c r="B883" s="146"/>
      <c r="C883" s="146"/>
      <c r="D883" s="146"/>
      <c r="E883" s="146"/>
      <c r="F883" s="146"/>
      <c r="G883" s="146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ht="18.75" customHeight="1">
      <c r="A884" s="146"/>
      <c r="B884" s="146"/>
      <c r="C884" s="146"/>
      <c r="D884" s="146"/>
      <c r="E884" s="146"/>
      <c r="F884" s="146"/>
      <c r="G884" s="146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ht="18.75" customHeight="1">
      <c r="A885" s="146"/>
      <c r="B885" s="146"/>
      <c r="C885" s="146"/>
      <c r="D885" s="146"/>
      <c r="E885" s="146"/>
      <c r="F885" s="146"/>
      <c r="G885" s="146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ht="18.75" customHeight="1">
      <c r="A886" s="146"/>
      <c r="B886" s="146"/>
      <c r="C886" s="146"/>
      <c r="D886" s="146"/>
      <c r="E886" s="146"/>
      <c r="F886" s="146"/>
      <c r="G886" s="146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ht="18.75" customHeight="1">
      <c r="A887" s="146"/>
      <c r="B887" s="146"/>
      <c r="C887" s="146"/>
      <c r="D887" s="146"/>
      <c r="E887" s="146"/>
      <c r="F887" s="146"/>
      <c r="G887" s="146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ht="18.75" customHeight="1">
      <c r="A888" s="146"/>
      <c r="B888" s="146"/>
      <c r="C888" s="146"/>
      <c r="D888" s="146"/>
      <c r="E888" s="146"/>
      <c r="F888" s="146"/>
      <c r="G888" s="146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ht="18.75" customHeight="1">
      <c r="A889" s="146"/>
      <c r="B889" s="146"/>
      <c r="C889" s="146"/>
      <c r="D889" s="146"/>
      <c r="E889" s="146"/>
      <c r="F889" s="146"/>
      <c r="G889" s="146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ht="18.75" customHeight="1">
      <c r="A890" s="146"/>
      <c r="B890" s="146"/>
      <c r="C890" s="146"/>
      <c r="D890" s="146"/>
      <c r="E890" s="146"/>
      <c r="F890" s="146"/>
      <c r="G890" s="146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ht="18.75" customHeight="1">
      <c r="A891" s="146"/>
      <c r="B891" s="146"/>
      <c r="C891" s="146"/>
      <c r="D891" s="146"/>
      <c r="E891" s="146"/>
      <c r="F891" s="146"/>
      <c r="G891" s="146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ht="18.75" customHeight="1">
      <c r="A892" s="146"/>
      <c r="B892" s="146"/>
      <c r="C892" s="146"/>
      <c r="D892" s="146"/>
      <c r="E892" s="146"/>
      <c r="F892" s="146"/>
      <c r="G892" s="146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ht="18.75" customHeight="1">
      <c r="A893" s="146"/>
      <c r="B893" s="146"/>
      <c r="C893" s="146"/>
      <c r="D893" s="146"/>
      <c r="E893" s="146"/>
      <c r="F893" s="146"/>
      <c r="G893" s="146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ht="18.75" customHeight="1">
      <c r="A894" s="146"/>
      <c r="B894" s="146"/>
      <c r="C894" s="146"/>
      <c r="D894" s="146"/>
      <c r="E894" s="146"/>
      <c r="F894" s="146"/>
      <c r="G894" s="146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ht="18.75" customHeight="1">
      <c r="A895" s="146"/>
      <c r="B895" s="146"/>
      <c r="C895" s="146"/>
      <c r="D895" s="146"/>
      <c r="E895" s="146"/>
      <c r="F895" s="146"/>
      <c r="G895" s="146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ht="18.75" customHeight="1">
      <c r="A896" s="146"/>
      <c r="B896" s="146"/>
      <c r="C896" s="146"/>
      <c r="D896" s="146"/>
      <c r="E896" s="146"/>
      <c r="F896" s="146"/>
      <c r="G896" s="146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ht="18.75" customHeight="1">
      <c r="A897" s="146"/>
      <c r="B897" s="146"/>
      <c r="C897" s="146"/>
      <c r="D897" s="146"/>
      <c r="E897" s="146"/>
      <c r="F897" s="146"/>
      <c r="G897" s="146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ht="18.75" customHeight="1">
      <c r="A898" s="146"/>
      <c r="B898" s="146"/>
      <c r="C898" s="146"/>
      <c r="D898" s="146"/>
      <c r="E898" s="146"/>
      <c r="F898" s="146"/>
      <c r="G898" s="146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ht="18.75" customHeight="1">
      <c r="A899" s="146"/>
      <c r="B899" s="146"/>
      <c r="C899" s="146"/>
      <c r="D899" s="146"/>
      <c r="E899" s="146"/>
      <c r="F899" s="146"/>
      <c r="G899" s="146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ht="18.75" customHeight="1">
      <c r="A900" s="146"/>
      <c r="B900" s="146"/>
      <c r="C900" s="146"/>
      <c r="D900" s="146"/>
      <c r="E900" s="146"/>
      <c r="F900" s="146"/>
      <c r="G900" s="146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ht="18.75" customHeight="1">
      <c r="A901" s="146"/>
      <c r="B901" s="146"/>
      <c r="C901" s="146"/>
      <c r="D901" s="146"/>
      <c r="E901" s="146"/>
      <c r="F901" s="146"/>
      <c r="G901" s="146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ht="18.75" customHeight="1">
      <c r="A902" s="146"/>
      <c r="B902" s="146"/>
      <c r="C902" s="146"/>
      <c r="D902" s="146"/>
      <c r="E902" s="146"/>
      <c r="F902" s="146"/>
      <c r="G902" s="146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ht="18.75" customHeight="1">
      <c r="A903" s="146"/>
      <c r="B903" s="146"/>
      <c r="C903" s="146"/>
      <c r="D903" s="146"/>
      <c r="E903" s="146"/>
      <c r="F903" s="146"/>
      <c r="G903" s="146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ht="18.75" customHeight="1">
      <c r="A904" s="146"/>
      <c r="B904" s="146"/>
      <c r="C904" s="146"/>
      <c r="D904" s="146"/>
      <c r="E904" s="146"/>
      <c r="F904" s="146"/>
      <c r="G904" s="146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ht="18.75" customHeight="1">
      <c r="A905" s="146"/>
      <c r="B905" s="146"/>
      <c r="C905" s="146"/>
      <c r="D905" s="146"/>
      <c r="E905" s="146"/>
      <c r="F905" s="146"/>
      <c r="G905" s="146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ht="18.75" customHeight="1">
      <c r="A906" s="146"/>
      <c r="B906" s="146"/>
      <c r="C906" s="146"/>
      <c r="D906" s="146"/>
      <c r="E906" s="146"/>
      <c r="F906" s="146"/>
      <c r="G906" s="146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ht="18.75" customHeight="1">
      <c r="A907" s="146"/>
      <c r="B907" s="146"/>
      <c r="C907" s="146"/>
      <c r="D907" s="146"/>
      <c r="E907" s="146"/>
      <c r="F907" s="146"/>
      <c r="G907" s="146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ht="18.75" customHeight="1">
      <c r="A908" s="146"/>
      <c r="B908" s="146"/>
      <c r="C908" s="146"/>
      <c r="D908" s="146"/>
      <c r="E908" s="146"/>
      <c r="F908" s="146"/>
      <c r="G908" s="146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ht="18.75" customHeight="1">
      <c r="A909" s="146"/>
      <c r="B909" s="146"/>
      <c r="C909" s="146"/>
      <c r="D909" s="146"/>
      <c r="E909" s="146"/>
      <c r="F909" s="146"/>
      <c r="G909" s="146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ht="18.75" customHeight="1">
      <c r="A910" s="146"/>
      <c r="B910" s="146"/>
      <c r="C910" s="146"/>
      <c r="D910" s="146"/>
      <c r="E910" s="146"/>
      <c r="F910" s="146"/>
      <c r="G910" s="146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ht="18.75" customHeight="1">
      <c r="A911" s="146"/>
      <c r="B911" s="146"/>
      <c r="C911" s="146"/>
      <c r="D911" s="146"/>
      <c r="E911" s="146"/>
      <c r="F911" s="146"/>
      <c r="G911" s="146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ht="18.75" customHeight="1">
      <c r="A912" s="146"/>
      <c r="B912" s="146"/>
      <c r="C912" s="146"/>
      <c r="D912" s="146"/>
      <c r="E912" s="146"/>
      <c r="F912" s="146"/>
      <c r="G912" s="146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ht="18.75" customHeight="1">
      <c r="A913" s="146"/>
      <c r="B913" s="146"/>
      <c r="C913" s="146"/>
      <c r="D913" s="146"/>
      <c r="E913" s="146"/>
      <c r="F913" s="146"/>
      <c r="G913" s="146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ht="18.75" customHeight="1">
      <c r="A914" s="146"/>
      <c r="B914" s="146"/>
      <c r="C914" s="146"/>
      <c r="D914" s="146"/>
      <c r="E914" s="146"/>
      <c r="F914" s="146"/>
      <c r="G914" s="146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ht="18.75" customHeight="1">
      <c r="A915" s="146"/>
      <c r="B915" s="146"/>
      <c r="C915" s="146"/>
      <c r="D915" s="146"/>
      <c r="E915" s="146"/>
      <c r="F915" s="146"/>
      <c r="G915" s="146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ht="18.75" customHeight="1">
      <c r="A916" s="146"/>
      <c r="B916" s="146"/>
      <c r="C916" s="146"/>
      <c r="D916" s="146"/>
      <c r="E916" s="146"/>
      <c r="F916" s="146"/>
      <c r="G916" s="146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ht="18.75" customHeight="1">
      <c r="A917" s="146"/>
      <c r="B917" s="146"/>
      <c r="C917" s="146"/>
      <c r="D917" s="146"/>
      <c r="E917" s="146"/>
      <c r="F917" s="146"/>
      <c r="G917" s="146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ht="18.75" customHeight="1">
      <c r="A918" s="146"/>
      <c r="B918" s="146"/>
      <c r="C918" s="146"/>
      <c r="D918" s="146"/>
      <c r="E918" s="146"/>
      <c r="F918" s="146"/>
      <c r="G918" s="146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ht="18.75" customHeight="1">
      <c r="A919" s="146"/>
      <c r="B919" s="146"/>
      <c r="C919" s="146"/>
      <c r="D919" s="146"/>
      <c r="E919" s="146"/>
      <c r="F919" s="146"/>
      <c r="G919" s="146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ht="18.75" customHeight="1">
      <c r="A920" s="146"/>
      <c r="B920" s="146"/>
      <c r="C920" s="146"/>
      <c r="D920" s="146"/>
      <c r="E920" s="146"/>
      <c r="F920" s="146"/>
      <c r="G920" s="146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ht="18.75" customHeight="1">
      <c r="A921" s="146"/>
      <c r="B921" s="146"/>
      <c r="C921" s="146"/>
      <c r="D921" s="146"/>
      <c r="E921" s="146"/>
      <c r="F921" s="146"/>
      <c r="G921" s="146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ht="18.75" customHeight="1">
      <c r="A922" s="146"/>
      <c r="B922" s="146"/>
      <c r="C922" s="146"/>
      <c r="D922" s="146"/>
      <c r="E922" s="146"/>
      <c r="F922" s="146"/>
      <c r="G922" s="146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ht="18.75" customHeight="1">
      <c r="A923" s="146"/>
      <c r="B923" s="146"/>
      <c r="C923" s="146"/>
      <c r="D923" s="146"/>
      <c r="E923" s="146"/>
      <c r="F923" s="146"/>
      <c r="G923" s="146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ht="18.75" customHeight="1">
      <c r="A924" s="146"/>
      <c r="B924" s="146"/>
      <c r="C924" s="146"/>
      <c r="D924" s="146"/>
      <c r="E924" s="146"/>
      <c r="F924" s="146"/>
      <c r="G924" s="146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ht="18.75" customHeight="1">
      <c r="A925" s="146"/>
      <c r="B925" s="146"/>
      <c r="C925" s="146"/>
      <c r="D925" s="146"/>
      <c r="E925" s="146"/>
      <c r="F925" s="146"/>
      <c r="G925" s="146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ht="18.75" customHeight="1">
      <c r="A926" s="146"/>
      <c r="B926" s="146"/>
      <c r="C926" s="146"/>
      <c r="D926" s="146"/>
      <c r="E926" s="146"/>
      <c r="F926" s="146"/>
      <c r="G926" s="146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ht="18.75" customHeight="1">
      <c r="A927" s="146"/>
      <c r="B927" s="146"/>
      <c r="C927" s="146"/>
      <c r="D927" s="146"/>
      <c r="E927" s="146"/>
      <c r="F927" s="146"/>
      <c r="G927" s="146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ht="18.75" customHeight="1">
      <c r="A928" s="146"/>
      <c r="B928" s="146"/>
      <c r="C928" s="146"/>
      <c r="D928" s="146"/>
      <c r="E928" s="146"/>
      <c r="F928" s="146"/>
      <c r="G928" s="146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ht="18.75" customHeight="1">
      <c r="A929" s="146"/>
      <c r="B929" s="146"/>
      <c r="C929" s="146"/>
      <c r="D929" s="146"/>
      <c r="E929" s="146"/>
      <c r="F929" s="146"/>
      <c r="G929" s="146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ht="18.75" customHeight="1">
      <c r="A930" s="146"/>
      <c r="B930" s="146"/>
      <c r="C930" s="146"/>
      <c r="D930" s="146"/>
      <c r="E930" s="146"/>
      <c r="F930" s="146"/>
      <c r="G930" s="146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ht="18.75" customHeight="1">
      <c r="A931" s="146"/>
      <c r="B931" s="146"/>
      <c r="C931" s="146"/>
      <c r="D931" s="146"/>
      <c r="E931" s="146"/>
      <c r="F931" s="146"/>
      <c r="G931" s="146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ht="18.75" customHeight="1">
      <c r="A932" s="146"/>
      <c r="B932" s="146"/>
      <c r="C932" s="146"/>
      <c r="D932" s="146"/>
      <c r="E932" s="146"/>
      <c r="F932" s="146"/>
      <c r="G932" s="146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ht="18.75" customHeight="1">
      <c r="A933" s="146"/>
      <c r="B933" s="146"/>
      <c r="C933" s="146"/>
      <c r="D933" s="146"/>
      <c r="E933" s="146"/>
      <c r="F933" s="146"/>
      <c r="G933" s="146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ht="18.75" customHeight="1">
      <c r="A934" s="146"/>
      <c r="B934" s="146"/>
      <c r="C934" s="146"/>
      <c r="D934" s="146"/>
      <c r="E934" s="146"/>
      <c r="F934" s="146"/>
      <c r="G934" s="146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ht="18.75" customHeight="1">
      <c r="A935" s="146"/>
      <c r="B935" s="146"/>
      <c r="C935" s="146"/>
      <c r="D935" s="146"/>
      <c r="E935" s="146"/>
      <c r="F935" s="146"/>
      <c r="G935" s="146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ht="18.75" customHeight="1">
      <c r="A936" s="146"/>
      <c r="B936" s="146"/>
      <c r="C936" s="146"/>
      <c r="D936" s="146"/>
      <c r="E936" s="146"/>
      <c r="F936" s="146"/>
      <c r="G936" s="146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ht="18.75" customHeight="1">
      <c r="A937" s="146"/>
      <c r="B937" s="146"/>
      <c r="C937" s="146"/>
      <c r="D937" s="146"/>
      <c r="E937" s="146"/>
      <c r="F937" s="146"/>
      <c r="G937" s="146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ht="18.75" customHeight="1">
      <c r="A938" s="146"/>
      <c r="B938" s="146"/>
      <c r="C938" s="146"/>
      <c r="D938" s="146"/>
      <c r="E938" s="146"/>
      <c r="F938" s="146"/>
      <c r="G938" s="146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ht="18.75" customHeight="1">
      <c r="A939" s="146"/>
      <c r="B939" s="146"/>
      <c r="C939" s="146"/>
      <c r="D939" s="146"/>
      <c r="E939" s="146"/>
      <c r="F939" s="146"/>
      <c r="G939" s="146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ht="18.75" customHeight="1">
      <c r="A940" s="146"/>
      <c r="B940" s="146"/>
      <c r="C940" s="146"/>
      <c r="D940" s="146"/>
      <c r="E940" s="146"/>
      <c r="F940" s="146"/>
      <c r="G940" s="146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ht="18.75" customHeight="1">
      <c r="A941" s="146"/>
      <c r="B941" s="146"/>
      <c r="C941" s="146"/>
      <c r="D941" s="146"/>
      <c r="E941" s="146"/>
      <c r="F941" s="146"/>
      <c r="G941" s="146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ht="18.75" customHeight="1">
      <c r="A942" s="146"/>
      <c r="B942" s="146"/>
      <c r="C942" s="146"/>
      <c r="D942" s="146"/>
      <c r="E942" s="146"/>
      <c r="F942" s="146"/>
      <c r="G942" s="146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ht="18.75" customHeight="1">
      <c r="A943" s="146"/>
      <c r="B943" s="146"/>
      <c r="C943" s="146"/>
      <c r="D943" s="146"/>
      <c r="E943" s="146"/>
      <c r="F943" s="146"/>
      <c r="G943" s="146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ht="18.75" customHeight="1">
      <c r="A944" s="146"/>
      <c r="B944" s="146"/>
      <c r="C944" s="146"/>
      <c r="D944" s="146"/>
      <c r="E944" s="146"/>
      <c r="F944" s="146"/>
      <c r="G944" s="146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ht="18.75" customHeight="1">
      <c r="A945" s="146"/>
      <c r="B945" s="146"/>
      <c r="C945" s="146"/>
      <c r="D945" s="146"/>
      <c r="E945" s="146"/>
      <c r="F945" s="146"/>
      <c r="G945" s="146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ht="18.75" customHeight="1">
      <c r="A946" s="146"/>
      <c r="B946" s="146"/>
      <c r="C946" s="146"/>
      <c r="D946" s="146"/>
      <c r="E946" s="146"/>
      <c r="F946" s="146"/>
      <c r="G946" s="146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ht="18.75" customHeight="1">
      <c r="A947" s="146"/>
      <c r="B947" s="146"/>
      <c r="C947" s="146"/>
      <c r="D947" s="146"/>
      <c r="E947" s="146"/>
      <c r="F947" s="146"/>
      <c r="G947" s="146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ht="18.75" customHeight="1">
      <c r="A948" s="146"/>
      <c r="B948" s="146"/>
      <c r="C948" s="146"/>
      <c r="D948" s="146"/>
      <c r="E948" s="146"/>
      <c r="F948" s="146"/>
      <c r="G948" s="146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ht="18.75" customHeight="1">
      <c r="A949" s="146"/>
      <c r="B949" s="146"/>
      <c r="C949" s="146"/>
      <c r="D949" s="146"/>
      <c r="E949" s="146"/>
      <c r="F949" s="146"/>
      <c r="G949" s="146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ht="18.75" customHeight="1">
      <c r="A950" s="146"/>
      <c r="B950" s="146"/>
      <c r="C950" s="146"/>
      <c r="D950" s="146"/>
      <c r="E950" s="146"/>
      <c r="F950" s="146"/>
      <c r="G950" s="146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ht="18.75" customHeight="1">
      <c r="A951" s="146"/>
      <c r="B951" s="146"/>
      <c r="C951" s="146"/>
      <c r="D951" s="146"/>
      <c r="E951" s="146"/>
      <c r="F951" s="146"/>
      <c r="G951" s="146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ht="18.75" customHeight="1">
      <c r="A952" s="146"/>
      <c r="B952" s="146"/>
      <c r="C952" s="146"/>
      <c r="D952" s="146"/>
      <c r="E952" s="146"/>
      <c r="F952" s="146"/>
      <c r="G952" s="146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ht="18.75" customHeight="1">
      <c r="A953" s="146"/>
      <c r="B953" s="146"/>
      <c r="C953" s="146"/>
      <c r="D953" s="146"/>
      <c r="E953" s="146"/>
      <c r="F953" s="146"/>
      <c r="G953" s="146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ht="18.75" customHeight="1">
      <c r="A954" s="146"/>
      <c r="B954" s="146"/>
      <c r="C954" s="146"/>
      <c r="D954" s="146"/>
      <c r="E954" s="146"/>
      <c r="F954" s="146"/>
      <c r="G954" s="146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ht="18.75" customHeight="1">
      <c r="A955" s="146"/>
      <c r="B955" s="146"/>
      <c r="C955" s="146"/>
      <c r="D955" s="146"/>
      <c r="E955" s="146"/>
      <c r="F955" s="146"/>
      <c r="G955" s="146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ht="18.75" customHeight="1">
      <c r="A956" s="146"/>
      <c r="B956" s="146"/>
      <c r="C956" s="146"/>
      <c r="D956" s="146"/>
      <c r="E956" s="146"/>
      <c r="F956" s="146"/>
      <c r="G956" s="146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ht="18.75" customHeight="1">
      <c r="A957" s="146"/>
      <c r="B957" s="146"/>
      <c r="C957" s="146"/>
      <c r="D957" s="146"/>
      <c r="E957" s="146"/>
      <c r="F957" s="146"/>
      <c r="G957" s="146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ht="18.75" customHeight="1">
      <c r="A958" s="146"/>
      <c r="B958" s="146"/>
      <c r="C958" s="146"/>
      <c r="D958" s="146"/>
      <c r="E958" s="146"/>
      <c r="F958" s="146"/>
      <c r="G958" s="146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ht="18.75" customHeight="1">
      <c r="A959" s="146"/>
      <c r="B959" s="146"/>
      <c r="C959" s="146"/>
      <c r="D959" s="146"/>
      <c r="E959" s="146"/>
      <c r="F959" s="146"/>
      <c r="G959" s="146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ht="18.75" customHeight="1">
      <c r="A960" s="146"/>
      <c r="B960" s="146"/>
      <c r="C960" s="146"/>
      <c r="D960" s="146"/>
      <c r="E960" s="146"/>
      <c r="F960" s="146"/>
      <c r="G960" s="146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ht="18.75" customHeight="1">
      <c r="A961" s="146"/>
      <c r="B961" s="146"/>
      <c r="C961" s="146"/>
      <c r="D961" s="146"/>
      <c r="E961" s="146"/>
      <c r="F961" s="146"/>
      <c r="G961" s="146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ht="18.75" customHeight="1">
      <c r="A962" s="146"/>
      <c r="B962" s="146"/>
      <c r="C962" s="146"/>
      <c r="D962" s="146"/>
      <c r="E962" s="146"/>
      <c r="F962" s="146"/>
      <c r="G962" s="146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ht="18.75" customHeight="1">
      <c r="A963" s="146"/>
      <c r="B963" s="146"/>
      <c r="C963" s="146"/>
      <c r="D963" s="146"/>
      <c r="E963" s="146"/>
      <c r="F963" s="146"/>
      <c r="G963" s="146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ht="18.75" customHeight="1">
      <c r="A964" s="146"/>
      <c r="B964" s="146"/>
      <c r="C964" s="146"/>
      <c r="D964" s="146"/>
      <c r="E964" s="146"/>
      <c r="F964" s="146"/>
      <c r="G964" s="146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ht="18.75" customHeight="1">
      <c r="A965" s="146"/>
      <c r="B965" s="146"/>
      <c r="C965" s="146"/>
      <c r="D965" s="146"/>
      <c r="E965" s="146"/>
      <c r="F965" s="146"/>
      <c r="G965" s="146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ht="18.75" customHeight="1">
      <c r="A966" s="146"/>
      <c r="B966" s="146"/>
      <c r="C966" s="146"/>
      <c r="D966" s="146"/>
      <c r="E966" s="146"/>
      <c r="F966" s="146"/>
      <c r="G966" s="146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ht="18.75" customHeight="1">
      <c r="A967" s="146"/>
      <c r="B967" s="146"/>
      <c r="C967" s="146"/>
      <c r="D967" s="146"/>
      <c r="E967" s="146"/>
      <c r="F967" s="146"/>
      <c r="G967" s="146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ht="18.75" customHeight="1">
      <c r="A968" s="146"/>
      <c r="B968" s="146"/>
      <c r="C968" s="146"/>
      <c r="D968" s="146"/>
      <c r="E968" s="146"/>
      <c r="F968" s="146"/>
      <c r="G968" s="146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ht="18.75" customHeight="1">
      <c r="A969" s="146"/>
      <c r="B969" s="146"/>
      <c r="C969" s="146"/>
      <c r="D969" s="146"/>
      <c r="E969" s="146"/>
      <c r="F969" s="146"/>
      <c r="G969" s="146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ht="18.75" customHeight="1">
      <c r="A970" s="146"/>
      <c r="B970" s="146"/>
      <c r="C970" s="146"/>
      <c r="D970" s="146"/>
      <c r="E970" s="146"/>
      <c r="F970" s="146"/>
      <c r="G970" s="146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ht="18.75" customHeight="1">
      <c r="A971" s="146"/>
      <c r="B971" s="146"/>
      <c r="C971" s="146"/>
      <c r="D971" s="146"/>
      <c r="E971" s="146"/>
      <c r="F971" s="146"/>
      <c r="G971" s="146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ht="18.75" customHeight="1">
      <c r="A972" s="146"/>
      <c r="B972" s="146"/>
      <c r="C972" s="146"/>
      <c r="D972" s="146"/>
      <c r="E972" s="146"/>
      <c r="F972" s="146"/>
      <c r="G972" s="146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ht="18.75" customHeight="1">
      <c r="A973" s="146"/>
      <c r="B973" s="146"/>
      <c r="C973" s="146"/>
      <c r="D973" s="146"/>
      <c r="E973" s="146"/>
      <c r="F973" s="146"/>
      <c r="G973" s="146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ht="18.75" customHeight="1">
      <c r="A974" s="146"/>
      <c r="B974" s="146"/>
      <c r="C974" s="146"/>
      <c r="D974" s="146"/>
      <c r="E974" s="146"/>
      <c r="F974" s="146"/>
      <c r="G974" s="146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ht="18.75" customHeight="1">
      <c r="A975" s="146"/>
      <c r="B975" s="146"/>
      <c r="C975" s="146"/>
      <c r="D975" s="146"/>
      <c r="E975" s="146"/>
      <c r="F975" s="146"/>
      <c r="G975" s="146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ht="18.75" customHeight="1">
      <c r="A976" s="146"/>
      <c r="B976" s="146"/>
      <c r="C976" s="146"/>
      <c r="D976" s="146"/>
      <c r="E976" s="146"/>
      <c r="F976" s="146"/>
      <c r="G976" s="146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ht="18.75" customHeight="1">
      <c r="A977" s="146"/>
      <c r="B977" s="146"/>
      <c r="C977" s="146"/>
      <c r="D977" s="146"/>
      <c r="E977" s="146"/>
      <c r="F977" s="146"/>
      <c r="G977" s="146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ht="18.75" customHeight="1">
      <c r="A978" s="146"/>
      <c r="B978" s="146"/>
      <c r="C978" s="146"/>
      <c r="D978" s="146"/>
      <c r="E978" s="146"/>
      <c r="F978" s="146"/>
      <c r="G978" s="146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ht="18.75" customHeight="1">
      <c r="A979" s="146"/>
      <c r="B979" s="146"/>
      <c r="C979" s="146"/>
      <c r="D979" s="146"/>
      <c r="E979" s="146"/>
      <c r="F979" s="146"/>
      <c r="G979" s="146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ht="18.75" customHeight="1">
      <c r="A980" s="146"/>
      <c r="B980" s="146"/>
      <c r="C980" s="146"/>
      <c r="D980" s="146"/>
      <c r="E980" s="146"/>
      <c r="F980" s="146"/>
      <c r="G980" s="146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ht="18.75" customHeight="1">
      <c r="A981" s="146"/>
      <c r="B981" s="146"/>
      <c r="C981" s="146"/>
      <c r="D981" s="146"/>
      <c r="E981" s="146"/>
      <c r="F981" s="146"/>
      <c r="G981" s="146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ht="18.75" customHeight="1">
      <c r="A982" s="146"/>
      <c r="B982" s="146"/>
      <c r="C982" s="146"/>
      <c r="D982" s="146"/>
      <c r="E982" s="146"/>
      <c r="F982" s="146"/>
      <c r="G982" s="146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ht="18.75" customHeight="1">
      <c r="A983" s="146"/>
      <c r="B983" s="146"/>
      <c r="C983" s="146"/>
      <c r="D983" s="146"/>
      <c r="E983" s="146"/>
      <c r="F983" s="146"/>
      <c r="G983" s="146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ht="18.75" customHeight="1">
      <c r="A984" s="146"/>
      <c r="B984" s="146"/>
      <c r="C984" s="146"/>
      <c r="D984" s="146"/>
      <c r="E984" s="146"/>
      <c r="F984" s="146"/>
      <c r="G984" s="146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ht="18.75" customHeight="1">
      <c r="A985" s="146"/>
      <c r="B985" s="146"/>
      <c r="C985" s="146"/>
      <c r="D985" s="146"/>
      <c r="E985" s="146"/>
      <c r="F985" s="146"/>
      <c r="G985" s="146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ht="18.75" customHeight="1">
      <c r="A986" s="146"/>
      <c r="B986" s="146"/>
      <c r="C986" s="146"/>
      <c r="D986" s="146"/>
      <c r="E986" s="146"/>
      <c r="F986" s="146"/>
      <c r="G986" s="146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ht="18.75" customHeight="1">
      <c r="A987" s="146"/>
      <c r="B987" s="146"/>
      <c r="C987" s="146"/>
      <c r="D987" s="146"/>
      <c r="E987" s="146"/>
      <c r="F987" s="146"/>
      <c r="G987" s="146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ht="18.75" customHeight="1">
      <c r="A988" s="146"/>
      <c r="B988" s="146"/>
      <c r="C988" s="146"/>
      <c r="D988" s="146"/>
      <c r="E988" s="146"/>
      <c r="F988" s="146"/>
      <c r="G988" s="146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ht="18.75" customHeight="1">
      <c r="A989" s="146"/>
      <c r="B989" s="146"/>
      <c r="C989" s="146"/>
      <c r="D989" s="146"/>
      <c r="E989" s="146"/>
      <c r="F989" s="146"/>
      <c r="G989" s="146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ht="18.75" customHeight="1">
      <c r="A990" s="146"/>
      <c r="B990" s="146"/>
      <c r="C990" s="146"/>
      <c r="D990" s="146"/>
      <c r="E990" s="146"/>
      <c r="F990" s="146"/>
      <c r="G990" s="146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ht="18.75" customHeight="1">
      <c r="A991" s="146"/>
      <c r="B991" s="146"/>
      <c r="C991" s="146"/>
      <c r="D991" s="146"/>
      <c r="E991" s="146"/>
      <c r="F991" s="146"/>
      <c r="G991" s="146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ht="18.75" customHeight="1">
      <c r="A992" s="146"/>
      <c r="B992" s="146"/>
      <c r="C992" s="146"/>
      <c r="D992" s="146"/>
      <c r="E992" s="146"/>
      <c r="F992" s="146"/>
      <c r="G992" s="146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ht="18.75" customHeight="1">
      <c r="A993" s="146"/>
      <c r="B993" s="146"/>
      <c r="C993" s="146"/>
      <c r="D993" s="146"/>
      <c r="E993" s="146"/>
      <c r="F993" s="146"/>
      <c r="G993" s="146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ht="18.75" customHeight="1">
      <c r="A994" s="146"/>
      <c r="B994" s="146"/>
      <c r="C994" s="146"/>
      <c r="D994" s="146"/>
      <c r="E994" s="146"/>
      <c r="F994" s="146"/>
      <c r="G994" s="146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ht="18.75" customHeight="1">
      <c r="A995" s="146"/>
      <c r="B995" s="146"/>
      <c r="C995" s="146"/>
      <c r="D995" s="146"/>
      <c r="E995" s="146"/>
      <c r="F995" s="146"/>
      <c r="G995" s="146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ht="18.75" customHeight="1">
      <c r="A996" s="146"/>
      <c r="B996" s="146"/>
      <c r="C996" s="146"/>
      <c r="D996" s="146"/>
      <c r="E996" s="146"/>
      <c r="F996" s="146"/>
      <c r="G996" s="146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ht="18.75" customHeight="1">
      <c r="A997" s="146"/>
      <c r="B997" s="146"/>
      <c r="C997" s="146"/>
      <c r="D997" s="146"/>
      <c r="E997" s="146"/>
      <c r="F997" s="146"/>
      <c r="G997" s="146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ht="18.75" customHeight="1">
      <c r="A998" s="146"/>
      <c r="B998" s="146"/>
      <c r="C998" s="146"/>
      <c r="D998" s="146"/>
      <c r="E998" s="146"/>
      <c r="F998" s="146"/>
      <c r="G998" s="146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ht="18.75" customHeight="1">
      <c r="A999" s="146"/>
      <c r="B999" s="146"/>
      <c r="C999" s="146"/>
      <c r="D999" s="146"/>
      <c r="E999" s="146"/>
      <c r="F999" s="146"/>
      <c r="G999" s="146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ht="18.75" customHeight="1">
      <c r="A1000" s="146"/>
      <c r="B1000" s="146"/>
      <c r="C1000" s="146"/>
      <c r="D1000" s="146"/>
      <c r="E1000" s="146"/>
      <c r="F1000" s="146"/>
      <c r="G1000" s="146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mergeCells count="73">
    <mergeCell ref="A116:A117"/>
    <mergeCell ref="B116:B117"/>
    <mergeCell ref="C116:E116"/>
    <mergeCell ref="F116:F117"/>
    <mergeCell ref="G116:G117"/>
    <mergeCell ref="A126:F126"/>
    <mergeCell ref="A127:G129"/>
    <mergeCell ref="A130:A131"/>
    <mergeCell ref="B130:B131"/>
    <mergeCell ref="C130:E130"/>
    <mergeCell ref="F130:F131"/>
    <mergeCell ref="G130:G131"/>
    <mergeCell ref="A146:F146"/>
    <mergeCell ref="A148:G150"/>
    <mergeCell ref="C165:F165"/>
    <mergeCell ref="C166:F166"/>
    <mergeCell ref="A167:F167"/>
    <mergeCell ref="C158:F158"/>
    <mergeCell ref="C159:F159"/>
    <mergeCell ref="C160:F160"/>
    <mergeCell ref="C161:F161"/>
    <mergeCell ref="C162:F162"/>
    <mergeCell ref="C163:F163"/>
    <mergeCell ref="C164:F164"/>
    <mergeCell ref="A1:G3"/>
    <mergeCell ref="A4:A5"/>
    <mergeCell ref="B4:B5"/>
    <mergeCell ref="C4:E4"/>
    <mergeCell ref="F4:F5"/>
    <mergeCell ref="G4:G5"/>
    <mergeCell ref="A20:F20"/>
    <mergeCell ref="A21:G23"/>
    <mergeCell ref="A24:A25"/>
    <mergeCell ref="B24:B25"/>
    <mergeCell ref="C24:E24"/>
    <mergeCell ref="F24:F25"/>
    <mergeCell ref="G24:G25"/>
    <mergeCell ref="A38:F38"/>
    <mergeCell ref="A39:G41"/>
    <mergeCell ref="A42:A43"/>
    <mergeCell ref="B42:B43"/>
    <mergeCell ref="C42:E42"/>
    <mergeCell ref="F42:F43"/>
    <mergeCell ref="G42:G43"/>
    <mergeCell ref="A61:F61"/>
    <mergeCell ref="A65:A66"/>
    <mergeCell ref="B65:B66"/>
    <mergeCell ref="C65:E65"/>
    <mergeCell ref="F65:F66"/>
    <mergeCell ref="G65:G66"/>
    <mergeCell ref="A76:F76"/>
    <mergeCell ref="A77:G79"/>
    <mergeCell ref="A80:A81"/>
    <mergeCell ref="B80:B81"/>
    <mergeCell ref="C80:E80"/>
    <mergeCell ref="F80:F81"/>
    <mergeCell ref="G80:G81"/>
    <mergeCell ref="A96:F96"/>
    <mergeCell ref="A97:G99"/>
    <mergeCell ref="A100:A101"/>
    <mergeCell ref="B100:B101"/>
    <mergeCell ref="C100:E100"/>
    <mergeCell ref="F100:F101"/>
    <mergeCell ref="G100:G101"/>
    <mergeCell ref="A112:F112"/>
    <mergeCell ref="A113:G115"/>
    <mergeCell ref="C151:F151"/>
    <mergeCell ref="C152:F152"/>
    <mergeCell ref="C153:F153"/>
    <mergeCell ref="C154:F154"/>
    <mergeCell ref="C155:F155"/>
    <mergeCell ref="C156:F156"/>
    <mergeCell ref="C157:F157"/>
  </mergeCells>
  <conditionalFormatting sqref="G6:G19">
    <cfRule type="containsBlanks" dxfId="0" priority="1">
      <formula>LEN(TRIM(G6))=0</formula>
    </cfRule>
  </conditionalFormatting>
  <conditionalFormatting sqref="G6:G19">
    <cfRule type="cellIs" dxfId="1" priority="2" operator="equal">
      <formula>"N/A"</formula>
    </cfRule>
  </conditionalFormatting>
  <conditionalFormatting sqref="G6:G19">
    <cfRule type="cellIs" dxfId="2" priority="3" operator="equal">
      <formula>2</formula>
    </cfRule>
  </conditionalFormatting>
  <conditionalFormatting sqref="G6:G19">
    <cfRule type="cellIs" dxfId="3" priority="4" operator="equal">
      <formula>1</formula>
    </cfRule>
  </conditionalFormatting>
  <conditionalFormatting sqref="G26:G37">
    <cfRule type="containsBlanks" dxfId="0" priority="5">
      <formula>LEN(TRIM(G26))=0</formula>
    </cfRule>
  </conditionalFormatting>
  <conditionalFormatting sqref="G26:G37">
    <cfRule type="cellIs" dxfId="1" priority="6" operator="equal">
      <formula>"N/A"</formula>
    </cfRule>
  </conditionalFormatting>
  <conditionalFormatting sqref="G26:G37">
    <cfRule type="cellIs" dxfId="2" priority="7" operator="equal">
      <formula>2</formula>
    </cfRule>
  </conditionalFormatting>
  <conditionalFormatting sqref="G26:G37">
    <cfRule type="cellIs" dxfId="3" priority="8" operator="equal">
      <formula>1</formula>
    </cfRule>
  </conditionalFormatting>
  <conditionalFormatting sqref="G44:G60">
    <cfRule type="containsBlanks" dxfId="0" priority="9">
      <formula>LEN(TRIM(G44))=0</formula>
    </cfRule>
  </conditionalFormatting>
  <conditionalFormatting sqref="G44:G60">
    <cfRule type="cellIs" dxfId="1" priority="10" operator="equal">
      <formula>"N/A"</formula>
    </cfRule>
  </conditionalFormatting>
  <conditionalFormatting sqref="G44:G60">
    <cfRule type="cellIs" dxfId="2" priority="11" operator="equal">
      <formula>2</formula>
    </cfRule>
  </conditionalFormatting>
  <conditionalFormatting sqref="G44:G60">
    <cfRule type="cellIs" dxfId="3" priority="12" operator="equal">
      <formula>1</formula>
    </cfRule>
  </conditionalFormatting>
  <conditionalFormatting sqref="G67:G75">
    <cfRule type="containsBlanks" dxfId="0" priority="13">
      <formula>LEN(TRIM(G67))=0</formula>
    </cfRule>
  </conditionalFormatting>
  <conditionalFormatting sqref="G67:G75">
    <cfRule type="cellIs" dxfId="1" priority="14" operator="equal">
      <formula>"N/A"</formula>
    </cfRule>
  </conditionalFormatting>
  <conditionalFormatting sqref="G67:G75">
    <cfRule type="cellIs" dxfId="2" priority="15" operator="equal">
      <formula>2</formula>
    </cfRule>
  </conditionalFormatting>
  <conditionalFormatting sqref="G67:G75">
    <cfRule type="cellIs" dxfId="3" priority="16" operator="equal">
      <formula>1</formula>
    </cfRule>
  </conditionalFormatting>
  <conditionalFormatting sqref="G82:G95">
    <cfRule type="cellIs" dxfId="1" priority="17" operator="equal">
      <formula>"N/A"</formula>
    </cfRule>
  </conditionalFormatting>
  <conditionalFormatting sqref="G82:G95">
    <cfRule type="containsBlanks" dxfId="0" priority="18">
      <formula>LEN(TRIM(G82))=0</formula>
    </cfRule>
  </conditionalFormatting>
  <conditionalFormatting sqref="G82:G95">
    <cfRule type="cellIs" dxfId="2" priority="19" operator="equal">
      <formula>2</formula>
    </cfRule>
  </conditionalFormatting>
  <conditionalFormatting sqref="G82:G95">
    <cfRule type="cellIs" dxfId="3" priority="20" operator="equal">
      <formula>1</formula>
    </cfRule>
  </conditionalFormatting>
  <conditionalFormatting sqref="G102:G111">
    <cfRule type="containsBlanks" dxfId="0" priority="21">
      <formula>LEN(TRIM(G102))=0</formula>
    </cfRule>
  </conditionalFormatting>
  <conditionalFormatting sqref="G102:G111">
    <cfRule type="cellIs" dxfId="2" priority="22" operator="equal">
      <formula>2</formula>
    </cfRule>
  </conditionalFormatting>
  <conditionalFormatting sqref="G102:G111">
    <cfRule type="cellIs" dxfId="3" priority="23" operator="equal">
      <formula>1</formula>
    </cfRule>
  </conditionalFormatting>
  <conditionalFormatting sqref="G118:G125">
    <cfRule type="containsBlanks" dxfId="0" priority="24">
      <formula>LEN(TRIM(G118))=0</formula>
    </cfRule>
  </conditionalFormatting>
  <conditionalFormatting sqref="G118:G125">
    <cfRule type="cellIs" dxfId="2" priority="25" operator="equal">
      <formula>2</formula>
    </cfRule>
  </conditionalFormatting>
  <conditionalFormatting sqref="G118:G125">
    <cfRule type="cellIs" dxfId="1" priority="26" operator="equal">
      <formula>"N/A"</formula>
    </cfRule>
  </conditionalFormatting>
  <conditionalFormatting sqref="G118:G125">
    <cfRule type="cellIs" dxfId="3" priority="27" operator="equal">
      <formula>1</formula>
    </cfRule>
  </conditionalFormatting>
  <conditionalFormatting sqref="G132:G145">
    <cfRule type="containsBlanks" dxfId="0" priority="28">
      <formula>LEN(TRIM(G132))=0</formula>
    </cfRule>
  </conditionalFormatting>
  <conditionalFormatting sqref="G132:G145">
    <cfRule type="cellIs" dxfId="1" priority="29" operator="equal">
      <formula>"N/A"</formula>
    </cfRule>
  </conditionalFormatting>
  <conditionalFormatting sqref="G132:G145">
    <cfRule type="cellIs" dxfId="3" priority="30" operator="equal">
      <formula>1</formula>
    </cfRule>
  </conditionalFormatting>
  <conditionalFormatting sqref="G152:G166">
    <cfRule type="containsBlanks" dxfId="0" priority="31">
      <formula>LEN(TRIM(G152))=0</formula>
    </cfRule>
  </conditionalFormatting>
  <conditionalFormatting sqref="G152:G166">
    <cfRule type="cellIs" dxfId="2" priority="32" operator="equal">
      <formula>2</formula>
    </cfRule>
  </conditionalFormatting>
  <conditionalFormatting sqref="G152:G166">
    <cfRule type="cellIs" dxfId="1" priority="33" operator="equal">
      <formula>"N/A"</formula>
    </cfRule>
  </conditionalFormatting>
  <conditionalFormatting sqref="G152:G166">
    <cfRule type="cellIs" dxfId="3" priority="34" operator="equal">
      <formula>1</formula>
    </cfRule>
  </conditionalFormatting>
  <dataValidations>
    <dataValidation type="list" allowBlank="1" showErrorMessage="1" sqref="G6:G19 G26:G37 G44:G60 G67:G75 G82:G95 G102:G111 G118:G125 G132:G145 G152:G166">
      <formula1>'dont delete or edit'!$A$1:$A$4</formula1>
    </dataValidation>
  </dataValidations>
  <printOptions/>
  <pageMargins bottom="0.42" footer="0.0" header="0.0" left="1.0" right="0.79" top="0.59"/>
  <pageSetup paperSize="9" scale="1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rightToLeft="1" workbookViewId="0"/>
  </sheetViews>
  <sheetFormatPr customHeight="1" defaultColWidth="14.43" defaultRowHeight="15.0"/>
  <cols>
    <col customWidth="1" min="1" max="3" width="9.14"/>
    <col customWidth="1" min="4" max="4" width="57.0"/>
    <col customWidth="1" min="5" max="5" width="17.86"/>
    <col customWidth="1" min="6" max="26" width="9.14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20.25" customHeight="1">
      <c r="A3" s="149" t="s">
        <v>822</v>
      </c>
      <c r="B3" s="2"/>
      <c r="C3" s="2"/>
      <c r="D3" s="2"/>
      <c r="E3" s="2"/>
      <c r="F3" s="2"/>
      <c r="G3" s="3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20.25" customHeight="1">
      <c r="A4" s="149" t="s">
        <v>823</v>
      </c>
      <c r="B4" s="2"/>
      <c r="C4" s="2"/>
      <c r="D4" s="2"/>
      <c r="E4" s="2"/>
      <c r="F4" s="2"/>
      <c r="G4" s="3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20.25" customHeight="1">
      <c r="A5" s="150" t="s">
        <v>824</v>
      </c>
      <c r="B5" s="2"/>
      <c r="C5" s="2"/>
      <c r="D5" s="2"/>
      <c r="E5" s="2"/>
      <c r="F5" s="3"/>
      <c r="G5" s="151" t="str">
        <f>E54</f>
        <v>#ERROR!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8"/>
      <c r="B8" s="148"/>
      <c r="C8" s="152" t="s">
        <v>825</v>
      </c>
      <c r="D8" s="153" t="s">
        <v>826</v>
      </c>
      <c r="E8" s="154" t="s">
        <v>827</v>
      </c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>
      <c r="A9" s="148"/>
      <c r="B9" s="148"/>
      <c r="C9" s="155">
        <v>1.0</v>
      </c>
      <c r="D9" s="156" t="s">
        <v>828</v>
      </c>
      <c r="E9" s="157" t="str">
        <f>'العيادات'!F50</f>
        <v>N/A</v>
      </c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>
      <c r="A10" s="148"/>
      <c r="B10" s="148"/>
      <c r="C10" s="155">
        <v>2.0</v>
      </c>
      <c r="D10" s="158" t="s">
        <v>829</v>
      </c>
      <c r="E10" s="157" t="str">
        <f>'العيادات'!F67</f>
        <v>N/A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8"/>
      <c r="B11" s="148"/>
      <c r="C11" s="155">
        <v>3.0</v>
      </c>
      <c r="D11" s="158" t="s">
        <v>830</v>
      </c>
      <c r="E11" s="157" t="str">
        <f>'العيادات'!F90</f>
        <v>N/A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48"/>
      <c r="B12" s="148"/>
      <c r="C12" s="155">
        <v>4.0</v>
      </c>
      <c r="D12" s="158" t="s">
        <v>831</v>
      </c>
      <c r="E12" s="157" t="str">
        <f>'العيادات'!F95</f>
        <v>N/A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48"/>
      <c r="B13" s="148"/>
      <c r="C13" s="159">
        <v>5.0</v>
      </c>
      <c r="D13" s="158" t="s">
        <v>832</v>
      </c>
      <c r="E13" s="157" t="str">
        <f>'العيادات'!F103</f>
        <v>N/A</v>
      </c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48"/>
      <c r="B14" s="148"/>
      <c r="C14" s="155">
        <v>6.0</v>
      </c>
      <c r="D14" s="158" t="s">
        <v>833</v>
      </c>
      <c r="E14" s="157" t="str">
        <f>'العيادات'!F109</f>
        <v>N/A</v>
      </c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48"/>
      <c r="B15" s="148"/>
      <c r="C15" s="159">
        <v>7.0</v>
      </c>
      <c r="D15" s="158" t="s">
        <v>834</v>
      </c>
      <c r="E15" s="157" t="str">
        <f>'العيادات'!F120</f>
        <v>N/A</v>
      </c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48"/>
      <c r="B16" s="148"/>
      <c r="C16" s="159">
        <v>8.0</v>
      </c>
      <c r="D16" s="158" t="s">
        <v>835</v>
      </c>
      <c r="E16" s="157" t="str">
        <f>'العيادات'!F140</f>
        <v>N/A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48"/>
      <c r="B17" s="148"/>
      <c r="C17" s="155">
        <v>9.0</v>
      </c>
      <c r="D17" s="158" t="s">
        <v>836</v>
      </c>
      <c r="E17" s="157" t="str">
        <f>'العيادات'!F174</f>
        <v>N/A</v>
      </c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48"/>
      <c r="B18" s="148"/>
      <c r="C18" s="159">
        <v>10.0</v>
      </c>
      <c r="D18" s="158" t="s">
        <v>837</v>
      </c>
      <c r="E18" s="157" t="str">
        <f>'العيادات'!F193</f>
        <v>N/A</v>
      </c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48"/>
      <c r="B19" s="148"/>
      <c r="C19" s="155">
        <v>11.0</v>
      </c>
      <c r="D19" s="158" t="s">
        <v>838</v>
      </c>
      <c r="E19" s="157" t="str">
        <f>'العيادات'!F206</f>
        <v>N/A</v>
      </c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48"/>
      <c r="B20" s="148"/>
      <c r="C20" s="159">
        <v>12.0</v>
      </c>
      <c r="D20" s="158" t="s">
        <v>839</v>
      </c>
      <c r="E20" s="157" t="str">
        <f>'العيادات'!F213</f>
        <v>N/A</v>
      </c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15.75" customHeight="1">
      <c r="A21" s="148"/>
      <c r="B21" s="148"/>
      <c r="C21" s="155">
        <v>13.0</v>
      </c>
      <c r="D21" s="158" t="s">
        <v>840</v>
      </c>
      <c r="E21" s="157" t="str">
        <f>'العيادات'!F224</f>
        <v>N/A</v>
      </c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15.75" customHeight="1">
      <c r="A22" s="148"/>
      <c r="B22" s="148"/>
      <c r="C22" s="155">
        <v>14.0</v>
      </c>
      <c r="D22" s="158" t="s">
        <v>841</v>
      </c>
      <c r="E22" s="157" t="str">
        <f>'العيادات'!F234</f>
        <v>N/A</v>
      </c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ht="15.75" customHeight="1">
      <c r="A23" s="148"/>
      <c r="B23" s="148"/>
      <c r="C23" s="159">
        <v>15.0</v>
      </c>
      <c r="D23" s="158" t="s">
        <v>842</v>
      </c>
      <c r="E23" s="157" t="str">
        <f>'العيادات'!F250</f>
        <v>N/A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ht="15.75" customHeight="1">
      <c r="A24" s="148"/>
      <c r="B24" s="148"/>
      <c r="C24" s="155">
        <v>16.0</v>
      </c>
      <c r="D24" s="158" t="s">
        <v>843</v>
      </c>
      <c r="E24" s="157" t="str">
        <f>'العيادات'!F262</f>
        <v>N/A</v>
      </c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ht="15.75" customHeight="1">
      <c r="A25" s="148"/>
      <c r="B25" s="148"/>
      <c r="C25" s="159">
        <v>17.0</v>
      </c>
      <c r="D25" s="158" t="s">
        <v>844</v>
      </c>
      <c r="E25" s="157" t="str">
        <f>'العيادات'!F268</f>
        <v>N/A</v>
      </c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ht="15.75" customHeight="1">
      <c r="A26" s="148"/>
      <c r="B26" s="148"/>
      <c r="C26" s="155">
        <v>18.0</v>
      </c>
      <c r="D26" s="158" t="s">
        <v>845</v>
      </c>
      <c r="E26" s="157" t="str">
        <f>'العيادات'!F291</f>
        <v>N/A</v>
      </c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ht="15.75" customHeight="1">
      <c r="A27" s="148"/>
      <c r="B27" s="148"/>
      <c r="C27" s="159">
        <v>19.0</v>
      </c>
      <c r="D27" s="158" t="s">
        <v>846</v>
      </c>
      <c r="E27" s="157" t="str">
        <f>'العيادات'!F320</f>
        <v>N/A</v>
      </c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 ht="15.75" customHeight="1">
      <c r="A28" s="148"/>
      <c r="B28" s="148"/>
      <c r="C28" s="159">
        <v>20.0</v>
      </c>
      <c r="D28" s="158" t="s">
        <v>847</v>
      </c>
      <c r="E28" s="157" t="str">
        <f>'العيادات'!F345</f>
        <v>N/A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 ht="15.75" customHeight="1">
      <c r="A29" s="148"/>
      <c r="B29" s="148"/>
      <c r="C29" s="159">
        <v>21.0</v>
      </c>
      <c r="D29" s="158" t="s">
        <v>848</v>
      </c>
      <c r="E29" s="157" t="str">
        <f>'العيادات'!F352</f>
        <v>N/A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 ht="15.75" customHeight="1">
      <c r="A30" s="148"/>
      <c r="B30" s="148"/>
      <c r="C30" s="159">
        <v>22.0</v>
      </c>
      <c r="D30" s="158" t="s">
        <v>849</v>
      </c>
      <c r="E30" s="157" t="str">
        <f>'العيادات'!F367</f>
        <v>N/A</v>
      </c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ht="15.75" customHeight="1">
      <c r="A31" s="148"/>
      <c r="B31" s="148"/>
      <c r="C31" s="159">
        <v>23.0</v>
      </c>
      <c r="D31" s="158" t="s">
        <v>850</v>
      </c>
      <c r="E31" s="157" t="str">
        <f>'العيادات'!F377</f>
        <v>N/A</v>
      </c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ht="15.75" customHeight="1">
      <c r="A32" s="148"/>
      <c r="B32" s="148"/>
      <c r="C32" s="155">
        <v>24.0</v>
      </c>
      <c r="D32" s="158" t="s">
        <v>851</v>
      </c>
      <c r="E32" s="157" t="str">
        <f>'العيادات'!F381</f>
        <v>N/A</v>
      </c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ht="15.75" customHeight="1">
      <c r="A33" s="148"/>
      <c r="B33" s="148"/>
      <c r="C33" s="159">
        <v>25.0</v>
      </c>
      <c r="D33" s="158" t="s">
        <v>852</v>
      </c>
      <c r="E33" s="157" t="str">
        <f>'العيادات'!F386</f>
        <v>N/A</v>
      </c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 ht="15.75" customHeight="1">
      <c r="A34" s="148"/>
      <c r="B34" s="148"/>
      <c r="C34" s="155">
        <v>26.0</v>
      </c>
      <c r="D34" s="158" t="s">
        <v>853</v>
      </c>
      <c r="E34" s="157" t="str">
        <f>'العيادات'!F392</f>
        <v>N/A</v>
      </c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 ht="15.75" customHeight="1">
      <c r="A35" s="148"/>
      <c r="B35" s="148"/>
      <c r="C35" s="155">
        <v>27.0</v>
      </c>
      <c r="D35" s="158" t="s">
        <v>854</v>
      </c>
      <c r="E35" s="157" t="str">
        <f>'العيادات'!F406</f>
        <v>N/A</v>
      </c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ht="15.75" customHeight="1">
      <c r="A36" s="148"/>
      <c r="B36" s="148"/>
      <c r="C36" s="159">
        <v>28.0</v>
      </c>
      <c r="D36" s="158" t="s">
        <v>855</v>
      </c>
      <c r="E36" s="157" t="str">
        <f>'العيادات'!F423</f>
        <v>N/A</v>
      </c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ht="15.75" customHeight="1">
      <c r="A37" s="148"/>
      <c r="B37" s="148"/>
      <c r="C37" s="155">
        <v>29.0</v>
      </c>
      <c r="D37" s="158" t="s">
        <v>856</v>
      </c>
      <c r="E37" s="157" t="str">
        <f>'العيادات'!F429</f>
        <v>N/A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ht="15.75" customHeight="1">
      <c r="A38" s="148"/>
      <c r="B38" s="148"/>
      <c r="C38" s="159">
        <v>30.0</v>
      </c>
      <c r="D38" s="158" t="s">
        <v>857</v>
      </c>
      <c r="E38" s="157" t="str">
        <f>'العيادات'!F435</f>
        <v>N/A</v>
      </c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ht="15.75" customHeight="1">
      <c r="A39" s="148"/>
      <c r="B39" s="148"/>
      <c r="C39" s="155">
        <v>31.0</v>
      </c>
      <c r="D39" s="158" t="s">
        <v>858</v>
      </c>
      <c r="E39" s="157" t="str">
        <f>'العيادات'!F453</f>
        <v>N/A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 ht="15.75" customHeight="1">
      <c r="A40" s="148"/>
      <c r="B40" s="148"/>
      <c r="C40" s="159">
        <v>32.0</v>
      </c>
      <c r="D40" s="158" t="s">
        <v>859</v>
      </c>
      <c r="E40" s="157" t="str">
        <f>'العيادات'!F463</f>
        <v>N/A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 ht="15.75" customHeight="1">
      <c r="A41" s="148"/>
      <c r="B41" s="148"/>
      <c r="C41" s="159">
        <v>33.0</v>
      </c>
      <c r="D41" s="158" t="s">
        <v>860</v>
      </c>
      <c r="E41" s="157" t="str">
        <f>'العيادات'!F501</f>
        <v>N/A</v>
      </c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 ht="21.0" customHeight="1">
      <c r="A42" s="148"/>
      <c r="B42" s="148"/>
      <c r="C42" s="159">
        <v>34.0</v>
      </c>
      <c r="D42" s="158" t="s">
        <v>861</v>
      </c>
      <c r="E42" s="157">
        <f>'العيادات'!H560</f>
        <v>0.75</v>
      </c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 ht="15.75" customHeight="1">
      <c r="A43" s="148"/>
      <c r="B43" s="148"/>
      <c r="C43" s="160" t="s">
        <v>862</v>
      </c>
      <c r="D43" s="161"/>
      <c r="E43" s="162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 ht="15.75" customHeight="1">
      <c r="A44" s="148"/>
      <c r="B44" s="148"/>
      <c r="C44" s="155">
        <v>35.0</v>
      </c>
      <c r="D44" s="158" t="s">
        <v>863</v>
      </c>
      <c r="E44" s="163" t="str">
        <f>'مبادرات-البان'!G20</f>
        <v>N/A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 ht="15.75" customHeight="1">
      <c r="A45" s="148"/>
      <c r="B45" s="148"/>
      <c r="C45" s="159">
        <v>36.0</v>
      </c>
      <c r="D45" s="158" t="s">
        <v>864</v>
      </c>
      <c r="E45" s="163" t="str">
        <f>'مبادرات-البان'!G38</f>
        <v>N/A</v>
      </c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 ht="15.75" customHeight="1">
      <c r="A46" s="148"/>
      <c r="B46" s="148"/>
      <c r="C46" s="155">
        <v>37.0</v>
      </c>
      <c r="D46" s="158" t="s">
        <v>865</v>
      </c>
      <c r="E46" s="163" t="str">
        <f>'مبادرات-البان'!G61</f>
        <v>N/A</v>
      </c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 ht="15.75" customHeight="1">
      <c r="A47" s="148"/>
      <c r="B47" s="148"/>
      <c r="C47" s="159">
        <v>38.0</v>
      </c>
      <c r="D47" s="158" t="s">
        <v>866</v>
      </c>
      <c r="E47" s="163" t="str">
        <f>'مبادرات-البان'!G76</f>
        <v>N/A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 ht="15.75" customHeight="1">
      <c r="A48" s="148"/>
      <c r="B48" s="148"/>
      <c r="C48" s="155">
        <v>39.0</v>
      </c>
      <c r="D48" s="158" t="s">
        <v>867</v>
      </c>
      <c r="E48" s="163" t="str">
        <f>'مبادرات-البان'!G96</f>
        <v>N/A</v>
      </c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 ht="15.75" customHeight="1">
      <c r="A49" s="148"/>
      <c r="B49" s="148"/>
      <c r="C49" s="159">
        <v>40.0</v>
      </c>
      <c r="D49" s="158" t="s">
        <v>868</v>
      </c>
      <c r="E49" s="163" t="str">
        <f>'مبادرات-البان'!G112</f>
        <v>N/A</v>
      </c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 ht="15.75" customHeight="1">
      <c r="A50" s="148"/>
      <c r="B50" s="148"/>
      <c r="C50" s="155">
        <v>41.0</v>
      </c>
      <c r="D50" s="158" t="s">
        <v>869</v>
      </c>
      <c r="E50" s="163" t="str">
        <f>'مبادرات-البان'!G126</f>
        <v>N/A</v>
      </c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 ht="15.75" customHeight="1">
      <c r="A51" s="148"/>
      <c r="B51" s="148"/>
      <c r="C51" s="159">
        <v>42.0</v>
      </c>
      <c r="D51" s="158" t="s">
        <v>870</v>
      </c>
      <c r="E51" s="163" t="str">
        <f>'مبادرات-البان'!G146</f>
        <v>N/A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 ht="27.0" customHeight="1">
      <c r="A52" s="148"/>
      <c r="B52" s="148"/>
      <c r="C52" s="159">
        <v>43.0</v>
      </c>
      <c r="D52" s="158" t="s">
        <v>802</v>
      </c>
      <c r="E52" s="163" t="str">
        <f>'مبادرات-البان'!G167</f>
        <v>N/A</v>
      </c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ht="21.0" customHeight="1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 ht="18.75" customHeight="1">
      <c r="A54" s="148"/>
      <c r="B54" s="148"/>
      <c r="C54" s="164" t="s">
        <v>871</v>
      </c>
      <c r="D54" s="165"/>
      <c r="E54" s="166" t="str">
        <f>IF(COUNT(E44:E52,E9:E42)=0,"N/A",SUM((E44:E52,E9:E42))/(COUNT((E44:E52,E9:E42))))</f>
        <v>#ERROR!</v>
      </c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ht="23.25" customHeight="1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ht="22.5" customHeight="1">
      <c r="A56" s="148"/>
      <c r="B56" s="167" t="s">
        <v>872</v>
      </c>
      <c r="C56" s="11"/>
      <c r="D56" s="148"/>
      <c r="E56" s="168" t="s">
        <v>873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 ht="14.25" customHeight="1">
      <c r="A57" s="148"/>
      <c r="B57" s="12"/>
      <c r="C57" s="13"/>
      <c r="D57" s="148"/>
      <c r="E57" s="169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 ht="14.25" customHeight="1">
      <c r="A58" s="148"/>
      <c r="B58" s="14"/>
      <c r="C58" s="16"/>
      <c r="D58" s="148"/>
      <c r="E58" s="170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 ht="14.25" customHeight="1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 ht="22.5" customHeight="1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 ht="22.5" customHeight="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 ht="22.5" customHeight="1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 ht="22.5" customHeight="1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 ht="15.75" customHeight="1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 ht="15.75" customHeight="1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 ht="15.75" customHeight="1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 ht="15.75" customHeight="1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 ht="15.75" customHeight="1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 ht="15.75" customHeight="1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 ht="15.75" customHeight="1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 ht="15.75" customHeight="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ht="15.75" customHeight="1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ht="15.75" customHeight="1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ht="15.75" customHeight="1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ht="15.75" customHeight="1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ht="15.75" customHeight="1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ht="15.75" customHeight="1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ht="15.75" customHeight="1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 ht="15.75" customHeight="1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 ht="15.75" customHeight="1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 ht="15.75" customHeight="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 ht="15.75" customHeight="1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 ht="15.75" customHeight="1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 ht="15.75" customHeight="1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 ht="15.75" customHeight="1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ht="15.75" customHeight="1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 ht="15.75" customHeight="1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 ht="15.75" customHeight="1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 ht="15.75" customHeight="1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 ht="15.75" customHeight="1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 ht="15.75" customHeight="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 ht="15.75" customHeight="1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 ht="15.75" customHeight="1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 ht="15.75" customHeight="1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 ht="15.75" customHeight="1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 ht="15.75" customHeight="1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 ht="15.75" customHeight="1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 ht="15.75" customHeight="1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 ht="15.75" customHeight="1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 ht="15.75" customHeight="1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 ht="15.75" customHeight="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 ht="15.75" customHeight="1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 ht="15.75" customHeight="1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 ht="15.75" customHeight="1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 ht="15.75" customHeight="1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 ht="15.75" customHeight="1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ht="15.75" customHeight="1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 ht="15.75" customHeight="1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 ht="15.75" customHeight="1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 ht="15.75" customHeight="1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 ht="15.75" customHeight="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 ht="15.75" customHeight="1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 ht="15.75" customHeight="1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 ht="15.75" customHeight="1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 ht="15.75" customHeight="1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 ht="15.75" customHeight="1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 ht="15.75" customHeight="1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 ht="15.75" customHeight="1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 ht="15.75" customHeight="1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 ht="15.75" customHeight="1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 ht="15.75" customHeight="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 ht="15.75" customHeight="1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 ht="15.75" customHeight="1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 ht="15.75" customHeight="1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 ht="15.75" customHeight="1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 ht="15.75" customHeight="1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 ht="15.75" customHeight="1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 ht="15.75" customHeight="1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 ht="15.75" customHeight="1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 ht="15.75" customHeight="1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 ht="15.75" customHeight="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 ht="15.75" customHeight="1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 ht="15.75" customHeight="1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 ht="15.75" customHeight="1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 ht="15.75" customHeight="1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 ht="15.75" customHeight="1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 ht="15.75" customHeight="1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 ht="15.75" customHeight="1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 ht="15.75" customHeight="1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 ht="15.75" customHeight="1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 ht="15.75" customHeight="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 ht="15.75" customHeight="1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 ht="15.75" customHeight="1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 ht="15.75" customHeight="1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 ht="15.75" customHeight="1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 ht="15.75" customHeight="1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 ht="15.75" customHeight="1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 ht="15.75" customHeight="1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 ht="15.75" customHeight="1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 ht="15.75" customHeight="1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 ht="15.75" customHeight="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 ht="15.75" customHeight="1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 ht="15.75" customHeight="1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 ht="15.75" customHeight="1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 ht="15.75" customHeight="1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 ht="15.75" customHeight="1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 ht="15.75" customHeight="1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 ht="15.75" customHeight="1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 ht="15.75" customHeight="1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 ht="15.75" customHeight="1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 ht="15.75" customHeight="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 ht="15.75" customHeight="1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 ht="15.75" customHeight="1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 ht="15.75" customHeight="1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 ht="15.75" customHeight="1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 ht="15.75" customHeight="1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 ht="15.75" customHeight="1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 ht="15.75" customHeight="1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 ht="15.75" customHeight="1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 ht="15.75" customHeight="1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 ht="15.75" customHeight="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 ht="15.75" customHeight="1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 ht="15.75" customHeight="1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 ht="15.75" customHeight="1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 ht="15.75" customHeight="1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 ht="15.75" customHeight="1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 ht="15.75" customHeight="1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 ht="15.75" customHeight="1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 ht="15.75" customHeight="1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 ht="15.75" customHeight="1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 ht="15.75" customHeight="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 ht="15.75" customHeight="1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 ht="15.75" customHeight="1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 ht="15.75" customHeight="1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 ht="15.75" customHeight="1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 ht="15.75" customHeight="1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 ht="15.75" customHeight="1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 ht="15.75" customHeight="1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 ht="15.75" customHeight="1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 ht="15.75" customHeight="1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 ht="15.75" customHeight="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 ht="15.75" customHeight="1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 ht="15.75" customHeight="1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 ht="15.75" customHeight="1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 ht="15.75" customHeight="1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 ht="15.75" customHeight="1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 ht="15.75" customHeight="1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 ht="15.75" customHeight="1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 ht="15.75" customHeight="1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 ht="15.75" customHeight="1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 ht="15.75" customHeight="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 ht="15.75" customHeight="1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 ht="15.75" customHeight="1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 ht="15.75" customHeight="1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 ht="15.75" customHeight="1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 ht="15.75" customHeight="1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 ht="15.75" customHeight="1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 ht="15.75" customHeight="1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 ht="15.75" customHeight="1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 ht="15.75" customHeight="1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 ht="15.75" customHeight="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 ht="15.75" customHeight="1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 ht="15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 ht="15.75" customHeight="1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 ht="15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 ht="15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 ht="15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 ht="15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 ht="15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 ht="15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 ht="15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 ht="15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 ht="15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 ht="15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 ht="15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 ht="15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 ht="15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 ht="15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 ht="15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 ht="15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 ht="15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 ht="15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 ht="15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 ht="15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 ht="15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 ht="15.75" customHeight="1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 ht="15.75" customHeight="1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 ht="15.75" customHeight="1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 ht="15.75" customHeight="1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 ht="15.75" customHeight="1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 ht="15.75" customHeight="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 ht="15.75" customHeight="1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 ht="15.75" customHeight="1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 ht="15.75" customHeight="1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 ht="15.75" customHeight="1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 ht="15.75" customHeight="1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 ht="15.75" customHeight="1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 ht="15.75" customHeight="1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 ht="15.75" customHeight="1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 ht="15.75" customHeight="1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 ht="15.75" customHeight="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 ht="15.75" customHeight="1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 ht="15.75" customHeight="1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 ht="15.75" customHeight="1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 ht="15.75" customHeight="1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 ht="15.75" customHeight="1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 ht="15.75" customHeight="1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 ht="15.75" customHeight="1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 ht="15.75" customHeight="1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 ht="15.75" customHeight="1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 ht="15.75" customHeight="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 ht="15.75" customHeight="1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 ht="15.75" customHeight="1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 ht="15.75" customHeight="1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 ht="15.75" customHeight="1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 ht="15.75" customHeight="1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 ht="15.75" customHeight="1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 ht="15.75" customHeight="1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 ht="15.75" customHeight="1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 ht="15.75" customHeight="1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 ht="15.75" customHeight="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 ht="15.75" customHeight="1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 ht="15.75" customHeight="1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 ht="15.75" customHeight="1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 ht="15.75" customHeight="1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 ht="15.75" customHeight="1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 ht="15.75" customHeight="1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 ht="15.75" customHeight="1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 ht="15.75" customHeight="1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 ht="15.75" customHeight="1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 ht="15.75" customHeight="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 ht="15.75" customHeight="1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 ht="15.75" customHeight="1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 ht="15.75" customHeight="1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 ht="15.75" customHeight="1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 ht="15.75" customHeight="1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 ht="15.75" customHeight="1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 ht="15.75" customHeight="1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 ht="15.75" customHeight="1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 ht="15.75" customHeight="1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 ht="15.75" customHeight="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 ht="15.75" customHeight="1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 ht="15.75" customHeight="1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 ht="15.75" customHeight="1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 ht="15.75" customHeight="1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 ht="15.75" customHeight="1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 ht="15.75" customHeight="1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 ht="15.75" customHeight="1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 ht="15.75" customHeight="1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 ht="15.75" customHeight="1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 ht="15.75" customHeight="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 ht="15.75" customHeight="1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 ht="15.75" customHeight="1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 ht="15.75" customHeight="1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 ht="15.75" customHeight="1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 ht="15.75" customHeight="1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 ht="15.75" customHeight="1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 ht="15.75" customHeight="1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 ht="15.75" customHeight="1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 ht="15.75" customHeight="1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 ht="15.75" customHeight="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 ht="15.75" customHeight="1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 ht="15.75" customHeight="1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 ht="15.75" customHeight="1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 ht="15.75" customHeight="1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 ht="15.75" customHeight="1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 ht="15.75" customHeight="1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 ht="15.75" customHeight="1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 ht="15.75" customHeight="1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 ht="15.75" customHeight="1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 ht="15.75" customHeight="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 ht="15.75" customHeight="1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 ht="15.75" customHeight="1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 ht="15.75" customHeight="1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 ht="15.75" customHeight="1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 ht="15.75" customHeight="1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 ht="15.75" customHeight="1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 ht="15.75" customHeight="1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 ht="15.75" customHeight="1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 ht="15.75" customHeight="1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 ht="15.75" customHeight="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 ht="15.75" customHeight="1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 ht="15.75" customHeight="1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 ht="15.75" customHeight="1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 ht="15.75" customHeight="1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 ht="15.75" customHeight="1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 ht="15.75" customHeight="1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 ht="15.75" customHeight="1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 ht="15.75" customHeight="1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 ht="15.75" customHeight="1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 ht="15.75" customHeight="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 ht="15.75" customHeight="1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 ht="15.75" customHeight="1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 ht="15.75" customHeight="1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 ht="15.75" customHeight="1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 ht="15.75" customHeight="1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 ht="15.75" customHeight="1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 ht="15.75" customHeight="1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 ht="15.75" customHeight="1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 ht="15.75" customHeight="1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 ht="15.75" customHeight="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 ht="15.75" customHeight="1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 ht="15.75" customHeight="1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 ht="15.75" customHeight="1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 ht="15.75" customHeight="1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 ht="15.75" customHeight="1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 ht="15.75" customHeight="1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 ht="15.75" customHeight="1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 ht="15.75" customHeight="1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 ht="15.75" customHeight="1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 ht="15.75" customHeight="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 ht="15.75" customHeight="1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 ht="15.75" customHeight="1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 ht="15.75" customHeight="1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 ht="15.75" customHeight="1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 ht="15.75" customHeight="1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 ht="15.75" customHeight="1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 ht="15.75" customHeight="1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 ht="15.75" customHeight="1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 ht="15.75" customHeight="1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 ht="15.75" customHeight="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 ht="15.75" customHeight="1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 ht="15.75" customHeight="1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 ht="15.75" customHeight="1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 ht="15.75" customHeight="1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 ht="15.75" customHeight="1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 ht="15.75" customHeight="1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 ht="15.75" customHeight="1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 ht="15.75" customHeight="1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 ht="15.75" customHeight="1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 ht="15.75" customHeight="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 ht="15.75" customHeight="1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 ht="15.75" customHeight="1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 ht="15.75" customHeight="1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 ht="15.75" customHeight="1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 ht="15.75" customHeight="1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 ht="15.75" customHeight="1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 ht="15.75" customHeight="1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 ht="15.75" customHeight="1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 ht="15.75" customHeight="1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 ht="15.75" customHeight="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 ht="15.75" customHeight="1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 ht="15.75" customHeight="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 ht="15.75" customHeight="1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 ht="15.75" customHeight="1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 ht="15.75" customHeight="1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 ht="15.75" customHeight="1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 ht="15.75" customHeight="1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 ht="15.75" customHeight="1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 ht="15.75" customHeight="1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 ht="15.75" customHeight="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 ht="15.75" customHeight="1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 ht="15.75" customHeight="1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 ht="15.75" customHeight="1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 ht="15.75" customHeight="1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 ht="15.75" customHeight="1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 ht="15.75" customHeight="1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 ht="15.75" customHeight="1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 ht="15.75" customHeight="1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 ht="15.75" customHeight="1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 ht="15.75" customHeight="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 ht="15.75" customHeight="1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 ht="15.75" customHeight="1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 ht="15.75" customHeight="1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 ht="15.75" customHeight="1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 ht="15.75" customHeight="1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 ht="15.75" customHeight="1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 ht="15.75" customHeight="1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 ht="15.75" customHeight="1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 ht="15.75" customHeight="1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 ht="15.75" customHeight="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 ht="15.75" customHeight="1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 ht="15.75" customHeight="1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 ht="15.75" customHeight="1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 ht="15.75" customHeight="1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 ht="15.75" customHeight="1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 ht="15.75" customHeight="1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 ht="15.75" customHeight="1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 ht="15.75" customHeight="1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 ht="15.75" customHeight="1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 ht="15.75" customHeight="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 ht="15.75" customHeight="1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 ht="15.75" customHeight="1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 ht="15.75" customHeight="1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 ht="15.75" customHeight="1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 ht="15.75" customHeight="1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 ht="15.75" customHeight="1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 ht="15.75" customHeight="1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 ht="15.75" customHeight="1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 ht="15.75" customHeight="1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 ht="15.75" customHeight="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 ht="15.75" customHeight="1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 ht="15.75" customHeight="1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 ht="15.75" customHeight="1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 ht="15.75" customHeight="1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 ht="15.75" customHeight="1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 ht="15.75" customHeight="1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 ht="15.75" customHeight="1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 ht="15.75" customHeight="1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 ht="15.75" customHeight="1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 ht="15.75" customHeight="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 ht="15.75" customHeight="1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 ht="15.75" customHeight="1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 ht="15.75" customHeight="1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 ht="15.75" customHeight="1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 ht="15.75" customHeight="1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 ht="15.75" customHeight="1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 ht="15.75" customHeight="1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 ht="15.75" customHeight="1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 ht="15.75" customHeight="1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 ht="15.75" customHeight="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 ht="15.75" customHeight="1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 ht="15.75" customHeight="1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 ht="15.75" customHeight="1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 ht="15.75" customHeight="1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 ht="15.75" customHeight="1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 ht="15.75" customHeight="1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 ht="15.75" customHeight="1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 ht="15.75" customHeight="1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 ht="15.75" customHeight="1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 ht="15.75" customHeight="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 ht="15.75" customHeight="1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 ht="15.75" customHeight="1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 ht="15.75" customHeight="1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 ht="15.75" customHeight="1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 ht="15.75" customHeight="1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 ht="15.75" customHeight="1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 ht="15.75" customHeight="1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 ht="15.75" customHeight="1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 ht="15.75" customHeight="1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 ht="15.75" customHeight="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 ht="15.75" customHeight="1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 ht="15.75" customHeight="1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 ht="15.75" customHeight="1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 ht="15.75" customHeight="1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 ht="15.75" customHeight="1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 ht="15.75" customHeight="1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 ht="15.75" customHeight="1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 ht="15.75" customHeight="1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 ht="15.75" customHeight="1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 ht="15.75" customHeight="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 ht="15.75" customHeight="1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 ht="15.75" customHeight="1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 ht="15.75" customHeight="1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 ht="15.75" customHeight="1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 ht="15.75" customHeight="1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 ht="15.75" customHeight="1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 ht="15.75" customHeight="1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 ht="15.75" customHeight="1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 ht="15.75" customHeight="1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 ht="15.75" customHeight="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 ht="15.75" customHeight="1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 ht="15.75" customHeight="1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 ht="15.75" customHeight="1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 ht="15.75" customHeight="1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 ht="15.75" customHeight="1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 ht="15.75" customHeight="1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 ht="15.75" customHeight="1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 ht="15.75" customHeight="1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 ht="15.75" customHeight="1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 ht="15.75" customHeight="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 ht="15.75" customHeight="1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 ht="15.75" customHeight="1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 ht="15.75" customHeight="1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 ht="15.75" customHeight="1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 ht="15.75" customHeight="1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 ht="15.75" customHeight="1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 ht="15.75" customHeight="1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 ht="15.75" customHeight="1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 ht="15.75" customHeight="1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 ht="15.75" customHeight="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 ht="15.75" customHeight="1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 ht="15.75" customHeight="1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 ht="15.75" customHeight="1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 ht="15.75" customHeight="1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 ht="15.75" customHeight="1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 ht="15.75" customHeight="1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 ht="15.75" customHeight="1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 ht="15.75" customHeight="1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 ht="15.75" customHeight="1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 ht="15.75" customHeight="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 ht="15.75" customHeight="1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 ht="15.75" customHeight="1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 ht="15.75" customHeight="1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 ht="15.75" customHeight="1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 ht="15.75" customHeight="1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 ht="15.75" customHeight="1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 ht="15.75" customHeight="1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 ht="15.75" customHeight="1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 ht="15.75" customHeight="1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 ht="15.75" customHeight="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 ht="15.75" customHeight="1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 ht="15.75" customHeight="1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 ht="15.75" customHeight="1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 ht="15.75" customHeight="1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 ht="15.75" customHeight="1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 ht="15.75" customHeight="1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 ht="15.75" customHeight="1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 ht="15.75" customHeight="1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 ht="15.75" customHeight="1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 ht="15.75" customHeight="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 ht="15.75" customHeight="1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 ht="15.75" customHeight="1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 ht="15.75" customHeight="1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 ht="15.75" customHeight="1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 ht="15.75" customHeight="1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 ht="15.75" customHeight="1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 ht="15.75" customHeight="1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 ht="15.75" customHeight="1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 ht="15.75" customHeight="1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 ht="15.75" customHeight="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 ht="15.75" customHeight="1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 ht="15.75" customHeight="1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 ht="15.75" customHeight="1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 ht="15.75" customHeight="1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 ht="15.75" customHeight="1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 ht="15.75" customHeight="1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 ht="15.75" customHeight="1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 ht="15.75" customHeight="1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 ht="15.75" customHeight="1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 ht="15.75" customHeight="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 ht="15.75" customHeight="1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 ht="15.75" customHeight="1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 ht="15.75" customHeight="1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 ht="15.75" customHeight="1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 ht="15.75" customHeight="1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 ht="15.75" customHeight="1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 ht="15.75" customHeight="1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 ht="15.75" customHeight="1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 ht="15.75" customHeight="1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 ht="15.75" customHeight="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 ht="15.75" customHeight="1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 ht="15.75" customHeight="1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 ht="15.75" customHeight="1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 ht="15.75" customHeight="1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 ht="15.75" customHeight="1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 ht="15.75" customHeight="1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 ht="15.75" customHeight="1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 ht="15.75" customHeight="1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 ht="15.75" customHeight="1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 ht="15.75" customHeight="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 ht="15.75" customHeight="1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 ht="15.75" customHeight="1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 ht="15.75" customHeight="1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 ht="15.75" customHeight="1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 ht="15.75" customHeight="1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 ht="15.75" customHeight="1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 ht="15.75" customHeight="1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 ht="15.75" customHeight="1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 ht="15.75" customHeight="1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 ht="15.75" customHeight="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 ht="15.75" customHeight="1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 ht="15.75" customHeight="1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 ht="15.75" customHeight="1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 ht="15.75" customHeight="1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 ht="15.75" customHeight="1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 ht="15.75" customHeight="1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 ht="15.75" customHeight="1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 ht="15.75" customHeight="1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 ht="15.75" customHeight="1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 ht="15.75" customHeight="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 ht="15.75" customHeight="1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 ht="15.75" customHeight="1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 ht="15.75" customHeight="1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 ht="15.75" customHeight="1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 ht="15.75" customHeight="1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 ht="15.75" customHeight="1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 ht="15.75" customHeight="1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 ht="15.75" customHeight="1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 ht="15.75" customHeight="1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 ht="15.75" customHeight="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 ht="15.75" customHeight="1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 ht="15.75" customHeight="1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 ht="15.75" customHeight="1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 ht="15.75" customHeight="1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 ht="15.75" customHeight="1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 ht="15.75" customHeight="1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 ht="15.75" customHeight="1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 ht="15.75" customHeight="1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 ht="15.75" customHeight="1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 ht="15.75" customHeight="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 ht="15.75" customHeight="1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 ht="15.75" customHeight="1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 ht="15.75" customHeight="1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 ht="15.75" customHeight="1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 ht="15.75" customHeight="1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 ht="15.75" customHeight="1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 ht="15.75" customHeight="1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 ht="15.75" customHeight="1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 ht="15.75" customHeight="1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 ht="15.75" customHeight="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 ht="15.75" customHeight="1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 ht="15.75" customHeight="1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 ht="15.75" customHeight="1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 ht="15.75" customHeight="1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 ht="15.75" customHeight="1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 ht="15.75" customHeight="1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 ht="15.75" customHeight="1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 ht="15.75" customHeight="1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 ht="15.75" customHeight="1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 ht="15.75" customHeight="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 ht="15.75" customHeight="1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 ht="15.75" customHeight="1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 ht="15.75" customHeight="1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 ht="15.75" customHeight="1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 ht="15.75" customHeight="1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 ht="15.75" customHeight="1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 ht="15.75" customHeight="1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 ht="15.75" customHeight="1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 ht="15.75" customHeight="1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 ht="15.75" customHeight="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 ht="15.75" customHeight="1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 ht="15.75" customHeight="1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 ht="15.75" customHeight="1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 ht="15.75" customHeight="1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 ht="15.75" customHeight="1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 ht="15.75" customHeight="1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 ht="15.75" customHeight="1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 ht="15.75" customHeight="1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 ht="15.75" customHeight="1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 ht="15.75" customHeight="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 ht="15.75" customHeight="1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 ht="15.75" customHeight="1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 ht="15.75" customHeight="1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 ht="15.75" customHeight="1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 ht="15.75" customHeight="1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 ht="15.75" customHeight="1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 ht="15.75" customHeight="1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 ht="15.75" customHeight="1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 ht="15.75" customHeight="1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 ht="15.75" customHeight="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 ht="15.75" customHeight="1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 ht="15.75" customHeight="1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 ht="15.75" customHeight="1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 ht="15.75" customHeight="1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 ht="15.75" customHeight="1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 ht="15.75" customHeight="1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 ht="15.75" customHeight="1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 ht="15.75" customHeight="1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 ht="15.75" customHeight="1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 ht="15.75" customHeight="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 ht="15.75" customHeight="1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 ht="15.75" customHeight="1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 ht="15.75" customHeight="1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 ht="15.75" customHeight="1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 ht="15.75" customHeight="1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 ht="15.75" customHeight="1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 ht="15.75" customHeight="1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 ht="15.75" customHeight="1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 ht="15.75" customHeight="1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 ht="15.75" customHeight="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 ht="15.75" customHeight="1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 ht="15.75" customHeight="1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 ht="15.75" customHeight="1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 ht="15.75" customHeight="1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 ht="15.75" customHeight="1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 ht="15.75" customHeight="1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 ht="15.75" customHeight="1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 ht="15.75" customHeight="1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 ht="15.75" customHeight="1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 ht="15.75" customHeight="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 ht="15.75" customHeight="1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 ht="15.75" customHeight="1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 ht="15.75" customHeight="1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 ht="15.75" customHeight="1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 ht="15.75" customHeight="1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 ht="15.75" customHeight="1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 ht="15.75" customHeight="1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 ht="15.75" customHeight="1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 ht="15.75" customHeight="1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 ht="15.75" customHeight="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 ht="15.75" customHeight="1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 ht="15.75" customHeight="1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 ht="15.75" customHeight="1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 ht="15.75" customHeight="1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 ht="15.75" customHeight="1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 ht="15.75" customHeight="1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 ht="15.75" customHeight="1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 ht="15.75" customHeight="1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 ht="15.75" customHeight="1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 ht="15.75" customHeight="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 ht="15.75" customHeight="1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 ht="15.75" customHeight="1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 ht="15.75" customHeight="1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 ht="15.75" customHeight="1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 ht="15.75" customHeight="1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 ht="15.75" customHeight="1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 ht="15.75" customHeight="1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 ht="15.75" customHeight="1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 ht="15.75" customHeight="1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 ht="15.75" customHeight="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 ht="15.75" customHeight="1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 ht="15.75" customHeight="1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 ht="15.75" customHeight="1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 ht="15.75" customHeight="1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 ht="15.75" customHeight="1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 ht="15.75" customHeight="1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 ht="15.75" customHeight="1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 ht="15.75" customHeight="1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 ht="15.75" customHeight="1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 ht="15.75" customHeight="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 ht="15.75" customHeight="1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 ht="15.75" customHeight="1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 ht="15.75" customHeight="1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 ht="15.75" customHeight="1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 ht="15.75" customHeight="1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 ht="15.75" customHeight="1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 ht="15.75" customHeight="1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 ht="15.75" customHeight="1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 ht="15.75" customHeight="1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 ht="15.75" customHeight="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 ht="15.75" customHeight="1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 ht="15.75" customHeight="1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 ht="15.75" customHeight="1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 ht="15.75" customHeight="1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 ht="15.75" customHeight="1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 ht="15.75" customHeight="1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 ht="15.75" customHeight="1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 ht="15.75" customHeight="1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 ht="15.75" customHeight="1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 ht="15.75" customHeight="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 ht="15.75" customHeight="1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 ht="15.75" customHeight="1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 ht="15.75" customHeight="1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 ht="15.75" customHeight="1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 ht="15.75" customHeight="1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 ht="15.75" customHeight="1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 ht="15.75" customHeight="1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 ht="15.75" customHeight="1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 ht="15.75" customHeight="1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 ht="15.75" customHeight="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 ht="15.75" customHeight="1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 ht="15.75" customHeight="1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 ht="15.75" customHeight="1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 ht="15.75" customHeight="1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 ht="15.75" customHeight="1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 ht="15.75" customHeight="1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 ht="15.75" customHeight="1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 ht="15.75" customHeight="1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 ht="15.75" customHeight="1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 ht="15.75" customHeight="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 ht="15.75" customHeight="1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 ht="15.75" customHeight="1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 ht="15.75" customHeight="1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 ht="15.75" customHeight="1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 ht="15.75" customHeight="1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 ht="15.75" customHeight="1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 ht="15.75" customHeight="1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 ht="15.75" customHeight="1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 ht="15.75" customHeight="1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 ht="15.75" customHeight="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 ht="15.75" customHeight="1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 ht="15.75" customHeight="1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 ht="15.75" customHeight="1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 ht="15.75" customHeight="1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 ht="15.75" customHeight="1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 ht="15.75" customHeight="1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 ht="15.75" customHeight="1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 ht="15.75" customHeight="1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 ht="15.75" customHeight="1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 ht="15.75" customHeight="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 ht="15.75" customHeight="1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 ht="15.75" customHeight="1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 ht="15.75" customHeight="1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 ht="15.75" customHeight="1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 ht="15.75" customHeight="1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 ht="15.75" customHeight="1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 ht="15.75" customHeight="1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 ht="15.75" customHeight="1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 ht="15.75" customHeight="1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 ht="15.75" customHeight="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 ht="15.75" customHeight="1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 ht="15.75" customHeight="1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 ht="15.75" customHeight="1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 ht="15.75" customHeight="1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 ht="15.75" customHeight="1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 ht="15.75" customHeight="1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 ht="15.75" customHeight="1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 ht="15.75" customHeight="1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 ht="15.75" customHeight="1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 ht="15.75" customHeight="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 ht="15.75" customHeight="1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 ht="15.75" customHeight="1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 ht="15.75" customHeight="1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 ht="15.75" customHeight="1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 ht="15.75" customHeight="1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 ht="15.75" customHeight="1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 ht="15.75" customHeight="1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 ht="15.75" customHeight="1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 ht="15.75" customHeight="1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 ht="15.75" customHeight="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 ht="15.75" customHeight="1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 ht="15.75" customHeight="1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 ht="15.75" customHeight="1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 ht="15.75" customHeight="1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 ht="15.75" customHeight="1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 ht="15.75" customHeight="1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 ht="15.75" customHeight="1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 ht="15.75" customHeight="1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 ht="15.75" customHeight="1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 ht="15.75" customHeight="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 ht="15.75" customHeight="1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 ht="15.75" customHeight="1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 ht="15.75" customHeight="1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 ht="15.75" customHeight="1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 ht="15.75" customHeight="1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 ht="15.75" customHeight="1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 ht="15.75" customHeight="1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 ht="15.75" customHeight="1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 ht="15.75" customHeight="1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 ht="15.75" customHeight="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 ht="15.75" customHeight="1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 ht="15.75" customHeight="1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 ht="15.75" customHeight="1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 ht="15.75" customHeight="1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 ht="15.75" customHeight="1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 ht="15.75" customHeight="1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 ht="15.75" customHeight="1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 ht="15.75" customHeight="1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 ht="15.75" customHeight="1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 ht="15.75" customHeight="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 ht="15.75" customHeight="1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 ht="15.75" customHeight="1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 ht="15.75" customHeight="1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 ht="15.75" customHeight="1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 ht="15.75" customHeight="1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 ht="15.75" customHeight="1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 ht="15.75" customHeight="1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 ht="15.75" customHeight="1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 ht="15.75" customHeight="1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 ht="15.75" customHeight="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 ht="15.75" customHeight="1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 ht="15.75" customHeight="1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 ht="15.75" customHeight="1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 ht="15.75" customHeight="1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 ht="15.75" customHeight="1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 ht="15.75" customHeight="1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 ht="15.75" customHeight="1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 ht="15.75" customHeight="1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 ht="15.75" customHeight="1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 ht="15.75" customHeight="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 ht="15.75" customHeight="1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 ht="15.75" customHeight="1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 ht="15.75" customHeight="1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 ht="15.75" customHeight="1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 ht="15.75" customHeight="1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 ht="15.75" customHeight="1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 ht="15.75" customHeight="1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 ht="15.75" customHeight="1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 ht="15.75" customHeight="1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 ht="15.75" customHeight="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 ht="15.75" customHeight="1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 ht="15.75" customHeight="1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 ht="15.75" customHeight="1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 ht="15.75" customHeight="1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 ht="15.75" customHeight="1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 ht="15.75" customHeight="1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 ht="15.75" customHeight="1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 ht="15.75" customHeight="1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 ht="15.75" customHeight="1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 ht="15.75" customHeight="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 ht="15.75" customHeight="1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 ht="15.75" customHeight="1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 ht="15.75" customHeight="1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 ht="15.75" customHeight="1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 ht="15.75" customHeight="1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 ht="15.75" customHeight="1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 ht="15.75" customHeight="1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 ht="15.75" customHeight="1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 ht="15.75" customHeight="1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 ht="15.75" customHeight="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 ht="15.75" customHeight="1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 ht="15.75" customHeight="1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 ht="15.75" customHeight="1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 ht="15.75" customHeight="1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 ht="15.75" customHeight="1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 ht="15.75" customHeight="1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 ht="15.75" customHeight="1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 ht="15.75" customHeight="1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 ht="15.75" customHeight="1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 ht="15.75" customHeight="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 ht="15.75" customHeight="1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 ht="15.75" customHeight="1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 ht="15.75" customHeight="1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 ht="15.75" customHeight="1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 ht="15.75" customHeight="1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 ht="15.75" customHeight="1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 ht="15.75" customHeight="1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 ht="15.75" customHeight="1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 ht="15.75" customHeight="1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 ht="15.75" customHeight="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 ht="15.75" customHeight="1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 ht="15.75" customHeight="1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 ht="15.75" customHeight="1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 ht="15.75" customHeight="1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 ht="15.75" customHeight="1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 ht="15.75" customHeight="1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 ht="15.75" customHeight="1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 ht="15.75" customHeight="1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 ht="15.75" customHeight="1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 ht="15.75" customHeight="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 ht="15.75" customHeight="1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 ht="15.75" customHeight="1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 ht="15.75" customHeight="1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 ht="15.75" customHeight="1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 ht="15.75" customHeight="1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 ht="15.75" customHeight="1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 ht="15.75" customHeight="1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 ht="15.75" customHeight="1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 ht="15.75" customHeight="1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 ht="15.75" customHeight="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 ht="15.75" customHeight="1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 ht="15.75" customHeight="1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 ht="15.75" customHeight="1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 ht="15.75" customHeight="1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 ht="15.75" customHeight="1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 ht="15.75" customHeight="1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 ht="15.75" customHeight="1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 ht="15.75" customHeight="1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 ht="15.75" customHeight="1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 ht="15.75" customHeight="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 ht="15.75" customHeight="1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 ht="15.75" customHeight="1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 ht="15.75" customHeight="1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 ht="15.75" customHeight="1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 ht="15.75" customHeight="1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 ht="15.75" customHeight="1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 ht="15.75" customHeight="1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 ht="15.75" customHeight="1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 ht="15.75" customHeight="1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 ht="15.75" customHeight="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 ht="15.75" customHeight="1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 ht="15.75" customHeight="1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 ht="15.75" customHeight="1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 ht="15.75" customHeight="1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 ht="15.75" customHeight="1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 ht="15.75" customHeight="1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 ht="15.75" customHeight="1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 ht="15.75" customHeight="1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 ht="15.75" customHeight="1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 ht="15.75" customHeight="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 ht="15.75" customHeight="1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 ht="15.75" customHeight="1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 ht="15.75" customHeight="1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 ht="15.75" customHeight="1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 ht="15.75" customHeight="1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 ht="15.75" customHeight="1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 ht="15.75" customHeight="1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 ht="15.75" customHeight="1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 ht="15.75" customHeight="1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mergeCells count="7">
    <mergeCell ref="A3:G3"/>
    <mergeCell ref="A4:G4"/>
    <mergeCell ref="A5:F5"/>
    <mergeCell ref="C43:E43"/>
    <mergeCell ref="C54:D54"/>
    <mergeCell ref="B56:C58"/>
    <mergeCell ref="E56:E58"/>
  </mergeCells>
  <printOptions/>
  <pageMargins bottom="0.75" footer="0.0" header="0.0" left="0.7" right="0.7" top="0.75"/>
  <pageSetup paperSize="9" scale="5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00"/>
    <pageSetUpPr/>
  </sheetPr>
  <sheetViews>
    <sheetView rightToLeft="1" workbookViewId="0"/>
  </sheetViews>
  <sheetFormatPr customHeight="1" defaultColWidth="14.43" defaultRowHeight="15.0"/>
  <cols>
    <col customWidth="1" min="1" max="26" width="10.0"/>
  </cols>
  <sheetData>
    <row r="1">
      <c r="A1" s="171"/>
      <c r="B1" s="172" t="s">
        <v>874</v>
      </c>
    </row>
    <row r="2">
      <c r="A2" s="171">
        <v>0.0</v>
      </c>
    </row>
    <row r="3">
      <c r="A3" s="171">
        <v>1.0</v>
      </c>
    </row>
    <row r="4">
      <c r="A4" s="171">
        <v>2.0</v>
      </c>
    </row>
    <row r="19">
      <c r="D19" s="1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